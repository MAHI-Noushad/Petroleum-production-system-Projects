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1\Production 2\assignment\"/>
    </mc:Choice>
  </mc:AlternateContent>
  <xr:revisionPtr revIDLastSave="0" documentId="13_ncr:1_{9F6E5C02-5AD7-49FF-B035-1190EFC6C388}" xr6:coauthVersionLast="47" xr6:coauthVersionMax="47" xr10:uidLastSave="{00000000-0000-0000-0000-000000000000}"/>
  <bookViews>
    <workbookView xWindow="-108" yWindow="-108" windowWidth="23256" windowHeight="12720" xr2:uid="{8D34C01A-9B3F-4DA7-8A4A-40309A5F09A7}"/>
  </bookViews>
  <sheets>
    <sheet name="Stress distribution" sheetId="1" r:id="rId1"/>
    <sheet name="Sand_shale Sandwitch" sheetId="2" r:id="rId2"/>
    <sheet name="pressure Distributi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3" l="1"/>
  <c r="N22" i="3"/>
  <c r="N23" i="3"/>
  <c r="N24" i="3"/>
  <c r="N25" i="3"/>
  <c r="M21" i="3"/>
  <c r="M22" i="3"/>
  <c r="M23" i="3"/>
  <c r="M24" i="3"/>
  <c r="M25" i="3"/>
  <c r="L21" i="3"/>
  <c r="L22" i="3"/>
  <c r="L23" i="3"/>
  <c r="L24" i="3"/>
  <c r="L25" i="3"/>
  <c r="K21" i="3"/>
  <c r="K22" i="3"/>
  <c r="K23" i="3"/>
  <c r="K24" i="3"/>
  <c r="K25" i="3"/>
  <c r="J21" i="3"/>
  <c r="J22" i="3" s="1"/>
  <c r="J23" i="3" s="1"/>
  <c r="J24" i="3" s="1"/>
  <c r="J25" i="3" s="1"/>
  <c r="J17" i="3"/>
  <c r="J18" i="3" s="1"/>
  <c r="J19" i="3" s="1"/>
  <c r="J20" i="3" s="1"/>
  <c r="J16" i="3"/>
  <c r="K20" i="3"/>
  <c r="K19" i="3"/>
  <c r="K18" i="3"/>
  <c r="K17" i="3"/>
  <c r="L17" i="3"/>
  <c r="K16" i="3"/>
  <c r="N16" i="3"/>
  <c r="N15" i="3"/>
  <c r="M15" i="3"/>
  <c r="L15" i="3"/>
  <c r="K15" i="3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13" i="1"/>
  <c r="K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13" i="1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8" i="2"/>
  <c r="G48" i="2"/>
  <c r="Y8" i="2"/>
  <c r="AA8" i="2" s="1"/>
  <c r="Y9" i="2"/>
  <c r="AD8" i="2"/>
  <c r="AH9" i="2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AH58" i="2" s="1"/>
  <c r="AI58" i="2" s="1"/>
  <c r="Q9" i="2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M17" i="3" l="1"/>
  <c r="N17" i="3"/>
  <c r="L16" i="3"/>
  <c r="M16" i="3"/>
  <c r="AP8" i="2"/>
  <c r="Z8" i="2"/>
  <c r="AA9" i="2"/>
  <c r="AD9" i="2"/>
  <c r="Y10" i="2"/>
  <c r="Z9" i="2"/>
  <c r="AJ57" i="2"/>
  <c r="AJ58" i="2"/>
  <c r="AM58" i="2"/>
  <c r="AM57" i="2"/>
  <c r="AI57" i="2"/>
  <c r="R57" i="2"/>
  <c r="Q58" i="2"/>
  <c r="V57" i="2"/>
  <c r="S57" i="2"/>
  <c r="N18" i="3" l="1"/>
  <c r="M18" i="3"/>
  <c r="L18" i="3"/>
  <c r="AP9" i="2"/>
  <c r="AR8" i="2"/>
  <c r="AQ8" i="2"/>
  <c r="AU8" i="2"/>
  <c r="AA10" i="2"/>
  <c r="Z10" i="2"/>
  <c r="Y11" i="2"/>
  <c r="AD10" i="2"/>
  <c r="S58" i="2"/>
  <c r="R58" i="2"/>
  <c r="V58" i="2"/>
  <c r="N19" i="3" l="1"/>
  <c r="M19" i="3"/>
  <c r="L19" i="3"/>
  <c r="AP10" i="2"/>
  <c r="AQ9" i="2"/>
  <c r="AU9" i="2"/>
  <c r="AR9" i="2"/>
  <c r="Y12" i="2"/>
  <c r="AD11" i="2"/>
  <c r="AA11" i="2"/>
  <c r="Z11" i="2"/>
  <c r="N20" i="3" l="1"/>
  <c r="M20" i="3"/>
  <c r="L20" i="3"/>
  <c r="AU10" i="2"/>
  <c r="AQ10" i="2"/>
  <c r="AR10" i="2"/>
  <c r="AP11" i="2"/>
  <c r="Z12" i="2"/>
  <c r="Y13" i="2"/>
  <c r="AD12" i="2"/>
  <c r="AA12" i="2"/>
  <c r="AR11" i="2" l="1"/>
  <c r="AQ11" i="2"/>
  <c r="AU11" i="2"/>
  <c r="AP12" i="2"/>
  <c r="Z13" i="2"/>
  <c r="Y14" i="2"/>
  <c r="AD13" i="2"/>
  <c r="AA13" i="2"/>
  <c r="AP13" i="2" l="1"/>
  <c r="AU12" i="2"/>
  <c r="AR12" i="2"/>
  <c r="AQ12" i="2"/>
  <c r="AD14" i="2"/>
  <c r="AA14" i="2"/>
  <c r="Z14" i="2"/>
  <c r="Y15" i="2"/>
  <c r="AR13" i="2" l="1"/>
  <c r="AP14" i="2"/>
  <c r="AU13" i="2"/>
  <c r="AQ13" i="2"/>
  <c r="AD15" i="2"/>
  <c r="AA15" i="2"/>
  <c r="Z15" i="2"/>
  <c r="Y16" i="2"/>
  <c r="AQ14" i="2" l="1"/>
  <c r="AP15" i="2"/>
  <c r="AU14" i="2"/>
  <c r="AR14" i="2"/>
  <c r="Z16" i="2"/>
  <c r="Y17" i="2"/>
  <c r="AD16" i="2"/>
  <c r="AA16" i="2"/>
  <c r="AR15" i="2" l="1"/>
  <c r="AQ15" i="2"/>
  <c r="AP16" i="2"/>
  <c r="AU15" i="2"/>
  <c r="AA17" i="2"/>
  <c r="Z17" i="2"/>
  <c r="Y18" i="2"/>
  <c r="AD17" i="2"/>
  <c r="AQ16" i="2" l="1"/>
  <c r="AU16" i="2"/>
  <c r="AP17" i="2"/>
  <c r="AR16" i="2"/>
  <c r="AA18" i="2"/>
  <c r="Z18" i="2"/>
  <c r="Y19" i="2"/>
  <c r="AD18" i="2"/>
  <c r="G9" i="2"/>
  <c r="J9" i="2" s="1"/>
  <c r="K8" i="2"/>
  <c r="L8" i="2" s="1"/>
  <c r="J8" i="2"/>
  <c r="I8" i="2"/>
  <c r="H8" i="2"/>
  <c r="V8" i="2"/>
  <c r="S8" i="2"/>
  <c r="R8" i="2"/>
  <c r="AM8" i="2"/>
  <c r="AJ8" i="2"/>
  <c r="AI8" i="2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13" i="1"/>
  <c r="H15" i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14" i="1"/>
  <c r="AU17" i="2" l="1"/>
  <c r="AR17" i="2"/>
  <c r="AQ17" i="2"/>
  <c r="AP18" i="2"/>
  <c r="AD19" i="2"/>
  <c r="AA19" i="2"/>
  <c r="Z19" i="2"/>
  <c r="Y20" i="2"/>
  <c r="R10" i="2"/>
  <c r="G10" i="2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K9" i="2"/>
  <c r="L9" i="2" s="1"/>
  <c r="H9" i="2"/>
  <c r="I9" i="2"/>
  <c r="V9" i="2"/>
  <c r="AM10" i="2"/>
  <c r="AM9" i="2"/>
  <c r="R9" i="2"/>
  <c r="S10" i="2"/>
  <c r="S9" i="2"/>
  <c r="V10" i="2"/>
  <c r="AJ10" i="2"/>
  <c r="AI10" i="2"/>
  <c r="AI9" i="2"/>
  <c r="AJ9" i="2"/>
  <c r="AQ18" i="2" l="1"/>
  <c r="AP19" i="2"/>
  <c r="AU18" i="2"/>
  <c r="AR18" i="2"/>
  <c r="Z20" i="2"/>
  <c r="Y21" i="2"/>
  <c r="AD20" i="2"/>
  <c r="AA20" i="2"/>
  <c r="K10" i="2"/>
  <c r="L10" i="2" s="1"/>
  <c r="I10" i="2"/>
  <c r="J10" i="2"/>
  <c r="H10" i="2"/>
  <c r="H11" i="2"/>
  <c r="K11" i="2"/>
  <c r="L11" i="2" s="1"/>
  <c r="J11" i="2"/>
  <c r="I11" i="2"/>
  <c r="AM11" i="2"/>
  <c r="S11" i="2"/>
  <c r="R11" i="2"/>
  <c r="V11" i="2"/>
  <c r="AJ11" i="2"/>
  <c r="AI11" i="2"/>
  <c r="AQ19" i="2" l="1"/>
  <c r="AU19" i="2"/>
  <c r="AP20" i="2"/>
  <c r="AR19" i="2"/>
  <c r="AA21" i="2"/>
  <c r="Z21" i="2"/>
  <c r="Y22" i="2"/>
  <c r="AD21" i="2"/>
  <c r="H12" i="2"/>
  <c r="J12" i="2"/>
  <c r="K12" i="2"/>
  <c r="L12" i="2" s="1"/>
  <c r="I12" i="2"/>
  <c r="AM12" i="2"/>
  <c r="V12" i="2"/>
  <c r="S12" i="2"/>
  <c r="R12" i="2"/>
  <c r="AJ12" i="2"/>
  <c r="AI12" i="2"/>
  <c r="AU20" i="2" l="1"/>
  <c r="AR20" i="2"/>
  <c r="AQ20" i="2"/>
  <c r="AP21" i="2"/>
  <c r="AA22" i="2"/>
  <c r="Z22" i="2"/>
  <c r="Y23" i="2"/>
  <c r="AD22" i="2"/>
  <c r="J13" i="2"/>
  <c r="I13" i="2"/>
  <c r="H13" i="2"/>
  <c r="K13" i="2"/>
  <c r="L13" i="2" s="1"/>
  <c r="AM13" i="2"/>
  <c r="V13" i="2"/>
  <c r="S13" i="2"/>
  <c r="R13" i="2"/>
  <c r="AI13" i="2"/>
  <c r="AJ13" i="2"/>
  <c r="AQ21" i="2" l="1"/>
  <c r="AU21" i="2"/>
  <c r="AR21" i="2"/>
  <c r="AP22" i="2"/>
  <c r="Y24" i="2"/>
  <c r="AD23" i="2"/>
  <c r="Z23" i="2"/>
  <c r="AA23" i="2"/>
  <c r="K14" i="2"/>
  <c r="L14" i="2" s="1"/>
  <c r="J14" i="2"/>
  <c r="I14" i="2"/>
  <c r="H14" i="2"/>
  <c r="AM14" i="2"/>
  <c r="R14" i="2"/>
  <c r="S14" i="2"/>
  <c r="V14" i="2"/>
  <c r="AI14" i="2"/>
  <c r="AJ14" i="2"/>
  <c r="AQ22" i="2" l="1"/>
  <c r="AU22" i="2"/>
  <c r="AR22" i="2"/>
  <c r="AP23" i="2"/>
  <c r="Z24" i="2"/>
  <c r="Y25" i="2"/>
  <c r="AD24" i="2"/>
  <c r="AA24" i="2"/>
  <c r="K15" i="2"/>
  <c r="L15" i="2" s="1"/>
  <c r="J15" i="2"/>
  <c r="H15" i="2"/>
  <c r="I15" i="2"/>
  <c r="AM15" i="2"/>
  <c r="R15" i="2"/>
  <c r="S15" i="2"/>
  <c r="V15" i="2"/>
  <c r="AJ15" i="2"/>
  <c r="AI15" i="2"/>
  <c r="AR23" i="2" l="1"/>
  <c r="AQ23" i="2"/>
  <c r="AU23" i="2"/>
  <c r="AP24" i="2"/>
  <c r="Z25" i="2"/>
  <c r="Y26" i="2"/>
  <c r="AD25" i="2"/>
  <c r="AA25" i="2"/>
  <c r="H16" i="2"/>
  <c r="K16" i="2"/>
  <c r="L16" i="2" s="1"/>
  <c r="I16" i="2"/>
  <c r="J16" i="2"/>
  <c r="AM16" i="2"/>
  <c r="V16" i="2"/>
  <c r="S16" i="2"/>
  <c r="R16" i="2"/>
  <c r="AJ16" i="2"/>
  <c r="AI16" i="2"/>
  <c r="AQ24" i="2" l="1"/>
  <c r="AP25" i="2"/>
  <c r="AR24" i="2"/>
  <c r="AU24" i="2"/>
  <c r="AD26" i="2"/>
  <c r="AA26" i="2"/>
  <c r="Z26" i="2"/>
  <c r="Y27" i="2"/>
  <c r="J17" i="2"/>
  <c r="I17" i="2"/>
  <c r="H17" i="2"/>
  <c r="K17" i="2"/>
  <c r="L17" i="2" s="1"/>
  <c r="AM17" i="2"/>
  <c r="V17" i="2"/>
  <c r="S17" i="2"/>
  <c r="R17" i="2"/>
  <c r="AJ17" i="2"/>
  <c r="AI17" i="2"/>
  <c r="AP26" i="2" l="1"/>
  <c r="AU25" i="2"/>
  <c r="AR25" i="2"/>
  <c r="AQ25" i="2"/>
  <c r="AD27" i="2"/>
  <c r="AA27" i="2"/>
  <c r="Z27" i="2"/>
  <c r="Y28" i="2"/>
  <c r="K18" i="2"/>
  <c r="L18" i="2" s="1"/>
  <c r="J18" i="2"/>
  <c r="I18" i="2"/>
  <c r="H18" i="2"/>
  <c r="AM18" i="2"/>
  <c r="R18" i="2"/>
  <c r="S18" i="2"/>
  <c r="V18" i="2"/>
  <c r="AJ18" i="2"/>
  <c r="AI18" i="2"/>
  <c r="AQ26" i="2" l="1"/>
  <c r="AP27" i="2"/>
  <c r="AU26" i="2"/>
  <c r="AR26" i="2"/>
  <c r="Z28" i="2"/>
  <c r="Y29" i="2"/>
  <c r="AD28" i="2"/>
  <c r="AA28" i="2"/>
  <c r="H19" i="2"/>
  <c r="K19" i="2"/>
  <c r="L19" i="2" s="1"/>
  <c r="J19" i="2"/>
  <c r="I19" i="2"/>
  <c r="AM19" i="2"/>
  <c r="S19" i="2"/>
  <c r="R19" i="2"/>
  <c r="V19" i="2"/>
  <c r="AJ19" i="2"/>
  <c r="AI19" i="2"/>
  <c r="AR27" i="2" l="1"/>
  <c r="AQ27" i="2"/>
  <c r="AU27" i="2"/>
  <c r="AP28" i="2"/>
  <c r="AA29" i="2"/>
  <c r="Z29" i="2"/>
  <c r="Y30" i="2"/>
  <c r="AD29" i="2"/>
  <c r="H20" i="2"/>
  <c r="J20" i="2"/>
  <c r="K20" i="2"/>
  <c r="L20" i="2" s="1"/>
  <c r="I20" i="2"/>
  <c r="AM20" i="2"/>
  <c r="S20" i="2"/>
  <c r="R20" i="2"/>
  <c r="V20" i="2"/>
  <c r="AJ20" i="2"/>
  <c r="AI20" i="2"/>
  <c r="AU28" i="2" l="1"/>
  <c r="AR28" i="2"/>
  <c r="AP29" i="2"/>
  <c r="AQ28" i="2"/>
  <c r="AA30" i="2"/>
  <c r="Z30" i="2"/>
  <c r="Y31" i="2"/>
  <c r="AD30" i="2"/>
  <c r="J21" i="2"/>
  <c r="I21" i="2"/>
  <c r="H21" i="2"/>
  <c r="K21" i="2"/>
  <c r="L21" i="2" s="1"/>
  <c r="AM21" i="2"/>
  <c r="V21" i="2"/>
  <c r="S21" i="2"/>
  <c r="R21" i="2"/>
  <c r="AI21" i="2"/>
  <c r="AJ21" i="2"/>
  <c r="AU29" i="2" l="1"/>
  <c r="AQ29" i="2"/>
  <c r="AP30" i="2"/>
  <c r="AR29" i="2"/>
  <c r="Y32" i="2"/>
  <c r="AD31" i="2"/>
  <c r="Z31" i="2"/>
  <c r="AA31" i="2"/>
  <c r="K22" i="2"/>
  <c r="L22" i="2" s="1"/>
  <c r="J22" i="2"/>
  <c r="I22" i="2"/>
  <c r="H22" i="2"/>
  <c r="AM22" i="2"/>
  <c r="R22" i="2"/>
  <c r="V22" i="2"/>
  <c r="S22" i="2"/>
  <c r="AI22" i="2"/>
  <c r="AJ22" i="2"/>
  <c r="AQ30" i="2" l="1"/>
  <c r="AU30" i="2"/>
  <c r="AR30" i="2"/>
  <c r="AP31" i="2"/>
  <c r="Z32" i="2"/>
  <c r="Y33" i="2"/>
  <c r="AD32" i="2"/>
  <c r="AA32" i="2"/>
  <c r="H23" i="2"/>
  <c r="K23" i="2"/>
  <c r="L23" i="2" s="1"/>
  <c r="J23" i="2"/>
  <c r="I23" i="2"/>
  <c r="AM23" i="2"/>
  <c r="S23" i="2"/>
  <c r="R23" i="2"/>
  <c r="V23" i="2"/>
  <c r="AJ23" i="2"/>
  <c r="AI23" i="2"/>
  <c r="AR31" i="2" l="1"/>
  <c r="AQ31" i="2"/>
  <c r="AP32" i="2"/>
  <c r="AU31" i="2"/>
  <c r="Z33" i="2"/>
  <c r="Y34" i="2"/>
  <c r="AD33" i="2"/>
  <c r="AA33" i="2"/>
  <c r="H24" i="2"/>
  <c r="K24" i="2"/>
  <c r="L24" i="2" s="1"/>
  <c r="I24" i="2"/>
  <c r="J24" i="2"/>
  <c r="AM24" i="2"/>
  <c r="V24" i="2"/>
  <c r="S24" i="2"/>
  <c r="R24" i="2"/>
  <c r="AJ24" i="2"/>
  <c r="AI24" i="2"/>
  <c r="AU32" i="2" l="1"/>
  <c r="AP33" i="2"/>
  <c r="AR32" i="2"/>
  <c r="AQ32" i="2"/>
  <c r="AD34" i="2"/>
  <c r="AA34" i="2"/>
  <c r="Z34" i="2"/>
  <c r="Y35" i="2"/>
  <c r="J25" i="2"/>
  <c r="I25" i="2"/>
  <c r="H25" i="2"/>
  <c r="K25" i="2"/>
  <c r="L25" i="2" s="1"/>
  <c r="AM25" i="2"/>
  <c r="V25" i="2"/>
  <c r="S25" i="2"/>
  <c r="R25" i="2"/>
  <c r="AJ25" i="2"/>
  <c r="AI25" i="2"/>
  <c r="AU33" i="2" l="1"/>
  <c r="AR33" i="2"/>
  <c r="AQ33" i="2"/>
  <c r="AP34" i="2"/>
  <c r="AD35" i="2"/>
  <c r="Z35" i="2"/>
  <c r="AA35" i="2"/>
  <c r="Y36" i="2"/>
  <c r="K26" i="2"/>
  <c r="L26" i="2" s="1"/>
  <c r="J26" i="2"/>
  <c r="I26" i="2"/>
  <c r="H26" i="2"/>
  <c r="AM26" i="2"/>
  <c r="R26" i="2"/>
  <c r="V26" i="2"/>
  <c r="S26" i="2"/>
  <c r="AI26" i="2"/>
  <c r="AJ26" i="2"/>
  <c r="AQ34" i="2" l="1"/>
  <c r="AP35" i="2"/>
  <c r="AU34" i="2"/>
  <c r="AR34" i="2"/>
  <c r="Z36" i="2"/>
  <c r="Y37" i="2"/>
  <c r="AD36" i="2"/>
  <c r="AA36" i="2"/>
  <c r="H27" i="2"/>
  <c r="K27" i="2"/>
  <c r="L27" i="2" s="1"/>
  <c r="J27" i="2"/>
  <c r="I27" i="2"/>
  <c r="AM27" i="2"/>
  <c r="S27" i="2"/>
  <c r="R27" i="2"/>
  <c r="V27" i="2"/>
  <c r="AJ27" i="2"/>
  <c r="AI27" i="2"/>
  <c r="AR35" i="2" l="1"/>
  <c r="AU35" i="2"/>
  <c r="AQ35" i="2"/>
  <c r="AP36" i="2"/>
  <c r="AA37" i="2"/>
  <c r="Z37" i="2"/>
  <c r="Y38" i="2"/>
  <c r="AD37" i="2"/>
  <c r="H28" i="2"/>
  <c r="J28" i="2"/>
  <c r="K28" i="2"/>
  <c r="L28" i="2" s="1"/>
  <c r="I28" i="2"/>
  <c r="AM28" i="2"/>
  <c r="V28" i="2"/>
  <c r="S28" i="2"/>
  <c r="R28" i="2"/>
  <c r="AJ28" i="2"/>
  <c r="AI28" i="2"/>
  <c r="AR36" i="2" l="1"/>
  <c r="AQ36" i="2"/>
  <c r="AU36" i="2"/>
  <c r="AP37" i="2"/>
  <c r="AA38" i="2"/>
  <c r="Z38" i="2"/>
  <c r="Y39" i="2"/>
  <c r="AD38" i="2"/>
  <c r="J29" i="2"/>
  <c r="I29" i="2"/>
  <c r="H29" i="2"/>
  <c r="K29" i="2"/>
  <c r="L29" i="2" s="1"/>
  <c r="AM29" i="2"/>
  <c r="V29" i="2"/>
  <c r="S29" i="2"/>
  <c r="R29" i="2"/>
  <c r="AI29" i="2"/>
  <c r="AJ29" i="2"/>
  <c r="AU37" i="2" l="1"/>
  <c r="AQ37" i="2"/>
  <c r="AP38" i="2"/>
  <c r="AR37" i="2"/>
  <c r="Y40" i="2"/>
  <c r="AD39" i="2"/>
  <c r="AA39" i="2"/>
  <c r="Z39" i="2"/>
  <c r="K30" i="2"/>
  <c r="L30" i="2" s="1"/>
  <c r="J30" i="2"/>
  <c r="I30" i="2"/>
  <c r="H30" i="2"/>
  <c r="AM30" i="2"/>
  <c r="R30" i="2"/>
  <c r="V30" i="2"/>
  <c r="S30" i="2"/>
  <c r="AJ30" i="2"/>
  <c r="AI30" i="2"/>
  <c r="AQ38" i="2" l="1"/>
  <c r="AU38" i="2"/>
  <c r="AP39" i="2"/>
  <c r="AR38" i="2"/>
  <c r="Z40" i="2"/>
  <c r="Y41" i="2"/>
  <c r="AD40" i="2"/>
  <c r="AA40" i="2"/>
  <c r="K31" i="2"/>
  <c r="L31" i="2" s="1"/>
  <c r="H31" i="2"/>
  <c r="J31" i="2"/>
  <c r="I31" i="2"/>
  <c r="AM31" i="2"/>
  <c r="S31" i="2"/>
  <c r="R31" i="2"/>
  <c r="V31" i="2"/>
  <c r="AJ31" i="2"/>
  <c r="AI31" i="2"/>
  <c r="AQ39" i="2" l="1"/>
  <c r="AR39" i="2"/>
  <c r="AP40" i="2"/>
  <c r="AU39" i="2"/>
  <c r="Z41" i="2"/>
  <c r="Y42" i="2"/>
  <c r="AD41" i="2"/>
  <c r="AA41" i="2"/>
  <c r="H32" i="2"/>
  <c r="K32" i="2"/>
  <c r="L32" i="2" s="1"/>
  <c r="I32" i="2"/>
  <c r="J32" i="2"/>
  <c r="AM32" i="2"/>
  <c r="V32" i="2"/>
  <c r="S32" i="2"/>
  <c r="R32" i="2"/>
  <c r="AJ32" i="2"/>
  <c r="AI32" i="2"/>
  <c r="AR40" i="2" l="1"/>
  <c r="AQ40" i="2"/>
  <c r="AP41" i="2"/>
  <c r="AU40" i="2"/>
  <c r="AD42" i="2"/>
  <c r="AA42" i="2"/>
  <c r="Z42" i="2"/>
  <c r="Y43" i="2"/>
  <c r="J33" i="2"/>
  <c r="I33" i="2"/>
  <c r="H33" i="2"/>
  <c r="K33" i="2"/>
  <c r="L33" i="2" s="1"/>
  <c r="AM33" i="2"/>
  <c r="V33" i="2"/>
  <c r="S33" i="2"/>
  <c r="R33" i="2"/>
  <c r="AJ33" i="2"/>
  <c r="AI33" i="2"/>
  <c r="AU41" i="2" l="1"/>
  <c r="AR41" i="2"/>
  <c r="AP42" i="2"/>
  <c r="AQ41" i="2"/>
  <c r="AD43" i="2"/>
  <c r="Z43" i="2"/>
  <c r="AA43" i="2"/>
  <c r="Y44" i="2"/>
  <c r="K34" i="2"/>
  <c r="L34" i="2" s="1"/>
  <c r="J34" i="2"/>
  <c r="I34" i="2"/>
  <c r="H34" i="2"/>
  <c r="AM34" i="2"/>
  <c r="R34" i="2"/>
  <c r="S34" i="2"/>
  <c r="V34" i="2"/>
  <c r="AI34" i="2"/>
  <c r="AJ34" i="2"/>
  <c r="AQ42" i="2" l="1"/>
  <c r="AP43" i="2"/>
  <c r="AU42" i="2"/>
  <c r="AR42" i="2"/>
  <c r="Z44" i="2"/>
  <c r="Y45" i="2"/>
  <c r="AD44" i="2"/>
  <c r="AA44" i="2"/>
  <c r="H35" i="2"/>
  <c r="K35" i="2"/>
  <c r="L35" i="2" s="1"/>
  <c r="J35" i="2"/>
  <c r="I35" i="2"/>
  <c r="AM35" i="2"/>
  <c r="S35" i="2"/>
  <c r="R35" i="2"/>
  <c r="V35" i="2"/>
  <c r="AJ35" i="2"/>
  <c r="AI35" i="2"/>
  <c r="AR43" i="2" l="1"/>
  <c r="AQ43" i="2"/>
  <c r="AU43" i="2"/>
  <c r="AP44" i="2"/>
  <c r="AA45" i="2"/>
  <c r="Z45" i="2"/>
  <c r="Y46" i="2"/>
  <c r="AD45" i="2"/>
  <c r="H36" i="2"/>
  <c r="J36" i="2"/>
  <c r="K36" i="2"/>
  <c r="L36" i="2" s="1"/>
  <c r="I36" i="2"/>
  <c r="AM36" i="2"/>
  <c r="V36" i="2"/>
  <c r="S36" i="2"/>
  <c r="R36" i="2"/>
  <c r="AJ36" i="2"/>
  <c r="AI36" i="2"/>
  <c r="AR44" i="2" l="1"/>
  <c r="AQ44" i="2"/>
  <c r="AU44" i="2"/>
  <c r="AP45" i="2"/>
  <c r="AA46" i="2"/>
  <c r="Z46" i="2"/>
  <c r="Y47" i="2"/>
  <c r="AD46" i="2"/>
  <c r="J37" i="2"/>
  <c r="I37" i="2"/>
  <c r="H37" i="2"/>
  <c r="K37" i="2"/>
  <c r="L37" i="2" s="1"/>
  <c r="AM37" i="2"/>
  <c r="V37" i="2"/>
  <c r="S37" i="2"/>
  <c r="R37" i="2"/>
  <c r="AI37" i="2"/>
  <c r="AJ37" i="2"/>
  <c r="AU45" i="2" l="1"/>
  <c r="AR45" i="2"/>
  <c r="AQ45" i="2"/>
  <c r="AP46" i="2"/>
  <c r="Y48" i="2"/>
  <c r="AD47" i="2"/>
  <c r="AA47" i="2"/>
  <c r="Z47" i="2"/>
  <c r="K38" i="2"/>
  <c r="L38" i="2" s="1"/>
  <c r="J38" i="2"/>
  <c r="I38" i="2"/>
  <c r="H38" i="2"/>
  <c r="AM38" i="2"/>
  <c r="R38" i="2"/>
  <c r="V38" i="2"/>
  <c r="S38" i="2"/>
  <c r="AI38" i="2"/>
  <c r="AJ38" i="2"/>
  <c r="AQ46" i="2" l="1"/>
  <c r="AP47" i="2"/>
  <c r="AU46" i="2"/>
  <c r="AR46" i="2"/>
  <c r="Z48" i="2"/>
  <c r="Y49" i="2"/>
  <c r="AD48" i="2"/>
  <c r="AA48" i="2"/>
  <c r="K39" i="2"/>
  <c r="L39" i="2" s="1"/>
  <c r="J39" i="2"/>
  <c r="I39" i="2"/>
  <c r="H39" i="2"/>
  <c r="AM39" i="2"/>
  <c r="S39" i="2"/>
  <c r="R39" i="2"/>
  <c r="V39" i="2"/>
  <c r="AJ39" i="2"/>
  <c r="AI39" i="2"/>
  <c r="AQ47" i="2" l="1"/>
  <c r="AR47" i="2"/>
  <c r="AP48" i="2"/>
  <c r="AU47" i="2"/>
  <c r="Z49" i="2"/>
  <c r="Y50" i="2"/>
  <c r="AD49" i="2"/>
  <c r="AA49" i="2"/>
  <c r="H40" i="2"/>
  <c r="J40" i="2"/>
  <c r="K40" i="2"/>
  <c r="L40" i="2" s="1"/>
  <c r="I40" i="2"/>
  <c r="AM40" i="2"/>
  <c r="V40" i="2"/>
  <c r="S40" i="2"/>
  <c r="R40" i="2"/>
  <c r="AJ40" i="2"/>
  <c r="AI40" i="2"/>
  <c r="AR48" i="2" l="1"/>
  <c r="AU48" i="2"/>
  <c r="AQ48" i="2"/>
  <c r="AP49" i="2"/>
  <c r="AD50" i="2"/>
  <c r="AA50" i="2"/>
  <c r="Z50" i="2"/>
  <c r="Y51" i="2"/>
  <c r="J41" i="2"/>
  <c r="I41" i="2"/>
  <c r="H41" i="2"/>
  <c r="K41" i="2"/>
  <c r="L41" i="2" s="1"/>
  <c r="AM41" i="2"/>
  <c r="V41" i="2"/>
  <c r="S41" i="2"/>
  <c r="R41" i="2"/>
  <c r="AJ41" i="2"/>
  <c r="AI41" i="2"/>
  <c r="AU49" i="2" l="1"/>
  <c r="AQ49" i="2"/>
  <c r="AP50" i="2"/>
  <c r="AR49" i="2"/>
  <c r="AD51" i="2"/>
  <c r="AA51" i="2"/>
  <c r="Z51" i="2"/>
  <c r="Y52" i="2"/>
  <c r="K42" i="2"/>
  <c r="L42" i="2" s="1"/>
  <c r="J42" i="2"/>
  <c r="I42" i="2"/>
  <c r="H42" i="2"/>
  <c r="AM42" i="2"/>
  <c r="R42" i="2"/>
  <c r="V42" i="2"/>
  <c r="S42" i="2"/>
  <c r="AI42" i="2"/>
  <c r="AJ42" i="2"/>
  <c r="AQ50" i="2" l="1"/>
  <c r="AP51" i="2"/>
  <c r="AU50" i="2"/>
  <c r="AR50" i="2"/>
  <c r="Z52" i="2"/>
  <c r="Y53" i="2"/>
  <c r="AD52" i="2"/>
  <c r="AA52" i="2"/>
  <c r="H43" i="2"/>
  <c r="K43" i="2"/>
  <c r="L43" i="2" s="1"/>
  <c r="J43" i="2"/>
  <c r="I43" i="2"/>
  <c r="AM43" i="2"/>
  <c r="S43" i="2"/>
  <c r="R43" i="2"/>
  <c r="V43" i="2"/>
  <c r="AJ43" i="2"/>
  <c r="AI43" i="2"/>
  <c r="AQ51" i="2" l="1"/>
  <c r="AR51" i="2"/>
  <c r="AP52" i="2"/>
  <c r="AU51" i="2"/>
  <c r="AA53" i="2"/>
  <c r="Z53" i="2"/>
  <c r="Y54" i="2"/>
  <c r="AD53" i="2"/>
  <c r="H44" i="2"/>
  <c r="J44" i="2"/>
  <c r="K44" i="2"/>
  <c r="L44" i="2" s="1"/>
  <c r="I44" i="2"/>
  <c r="AM44" i="2"/>
  <c r="V44" i="2"/>
  <c r="S44" i="2"/>
  <c r="R44" i="2"/>
  <c r="AJ44" i="2"/>
  <c r="AI44" i="2"/>
  <c r="AR52" i="2" l="1"/>
  <c r="AQ52" i="2"/>
  <c r="AP53" i="2"/>
  <c r="AU52" i="2"/>
  <c r="AA54" i="2"/>
  <c r="Z54" i="2"/>
  <c r="Y55" i="2"/>
  <c r="AD54" i="2"/>
  <c r="J45" i="2"/>
  <c r="I45" i="2"/>
  <c r="H45" i="2"/>
  <c r="K45" i="2"/>
  <c r="L45" i="2" s="1"/>
  <c r="AM45" i="2"/>
  <c r="V45" i="2"/>
  <c r="S45" i="2"/>
  <c r="R45" i="2"/>
  <c r="AJ45" i="2"/>
  <c r="AI45" i="2"/>
  <c r="AU53" i="2" l="1"/>
  <c r="AQ53" i="2"/>
  <c r="AP54" i="2"/>
  <c r="AR53" i="2"/>
  <c r="Y56" i="2"/>
  <c r="AD55" i="2"/>
  <c r="Z55" i="2"/>
  <c r="AA55" i="2"/>
  <c r="K46" i="2"/>
  <c r="L46" i="2" s="1"/>
  <c r="J46" i="2"/>
  <c r="I46" i="2"/>
  <c r="H46" i="2"/>
  <c r="AM46" i="2"/>
  <c r="R46" i="2"/>
  <c r="S46" i="2"/>
  <c r="V46" i="2"/>
  <c r="AI46" i="2"/>
  <c r="AJ46" i="2"/>
  <c r="AQ54" i="2" l="1"/>
  <c r="AP55" i="2"/>
  <c r="AR54" i="2"/>
  <c r="AU54" i="2"/>
  <c r="Z56" i="2"/>
  <c r="Y57" i="2"/>
  <c r="AD56" i="2"/>
  <c r="AA56" i="2"/>
  <c r="K47" i="2"/>
  <c r="L47" i="2" s="1"/>
  <c r="J47" i="2"/>
  <c r="I47" i="2"/>
  <c r="H47" i="2"/>
  <c r="AM47" i="2"/>
  <c r="S47" i="2"/>
  <c r="R47" i="2"/>
  <c r="V47" i="2"/>
  <c r="AJ47" i="2"/>
  <c r="AI47" i="2"/>
  <c r="AQ55" i="2" l="1"/>
  <c r="AR55" i="2"/>
  <c r="AU55" i="2"/>
  <c r="AP56" i="2"/>
  <c r="AA57" i="2"/>
  <c r="Z57" i="2"/>
  <c r="Y58" i="2"/>
  <c r="AD57" i="2"/>
  <c r="H48" i="2"/>
  <c r="J48" i="2"/>
  <c r="K48" i="2"/>
  <c r="L48" i="2" s="1"/>
  <c r="I48" i="2"/>
  <c r="AM48" i="2"/>
  <c r="V48" i="2"/>
  <c r="S48" i="2"/>
  <c r="R48" i="2"/>
  <c r="AJ48" i="2"/>
  <c r="AI48" i="2"/>
  <c r="AU56" i="2" l="1"/>
  <c r="AQ56" i="2"/>
  <c r="AR56" i="2"/>
  <c r="AP57" i="2"/>
  <c r="AA58" i="2"/>
  <c r="Z58" i="2"/>
  <c r="AD58" i="2"/>
  <c r="AM49" i="2"/>
  <c r="V49" i="2"/>
  <c r="S49" i="2"/>
  <c r="R49" i="2"/>
  <c r="AJ49" i="2"/>
  <c r="AI49" i="2"/>
  <c r="AU57" i="2" l="1"/>
  <c r="AR57" i="2"/>
  <c r="AP58" i="2"/>
  <c r="AQ57" i="2"/>
  <c r="AM50" i="2"/>
  <c r="R50" i="2"/>
  <c r="V50" i="2"/>
  <c r="S50" i="2"/>
  <c r="AI50" i="2"/>
  <c r="AJ50" i="2"/>
  <c r="AQ58" i="2" l="1"/>
  <c r="AU58" i="2"/>
  <c r="AR58" i="2"/>
  <c r="AM51" i="2"/>
  <c r="S51" i="2"/>
  <c r="R51" i="2"/>
  <c r="V51" i="2"/>
  <c r="AJ51" i="2"/>
  <c r="AI51" i="2"/>
  <c r="AM52" i="2" l="1"/>
  <c r="V52" i="2"/>
  <c r="S52" i="2"/>
  <c r="R52" i="2"/>
  <c r="AJ52" i="2"/>
  <c r="AI52" i="2"/>
  <c r="AM53" i="2" l="1"/>
  <c r="V53" i="2"/>
  <c r="S53" i="2"/>
  <c r="R53" i="2"/>
  <c r="AJ53" i="2"/>
  <c r="AI53" i="2"/>
  <c r="AM54" i="2" l="1"/>
  <c r="R54" i="2"/>
  <c r="V54" i="2"/>
  <c r="S54" i="2"/>
  <c r="AI54" i="2"/>
  <c r="AJ54" i="2"/>
  <c r="S55" i="2" l="1"/>
  <c r="R55" i="2"/>
  <c r="V55" i="2"/>
  <c r="AJ55" i="2"/>
  <c r="AI55" i="2"/>
  <c r="AM55" i="2"/>
  <c r="AM56" i="2" l="1"/>
  <c r="V56" i="2"/>
  <c r="S56" i="2"/>
  <c r="R56" i="2"/>
  <c r="AJ56" i="2"/>
  <c r="AI56" i="2"/>
</calcChain>
</file>

<file path=xl/sharedStrings.xml><?xml version="1.0" encoding="utf-8"?>
<sst xmlns="http://schemas.openxmlformats.org/spreadsheetml/2006/main" count="71" uniqueCount="30">
  <si>
    <t>h</t>
  </si>
  <si>
    <t>H</t>
  </si>
  <si>
    <t>α</t>
  </si>
  <si>
    <t>σH'</t>
  </si>
  <si>
    <t>v=0.27</t>
  </si>
  <si>
    <t>v=0.3</t>
  </si>
  <si>
    <t>v=0.25</t>
  </si>
  <si>
    <t>Case 1</t>
  </si>
  <si>
    <t>Case 2</t>
  </si>
  <si>
    <t>Case 3</t>
  </si>
  <si>
    <t>ν</t>
  </si>
  <si>
    <r>
      <t>σ</t>
    </r>
    <r>
      <rPr>
        <vertAlign val="subscript"/>
        <sz val="11"/>
        <color theme="1"/>
        <rFont val="Arial"/>
        <family val="2"/>
      </rPr>
      <t>H, min</t>
    </r>
  </si>
  <si>
    <t>0.57H</t>
  </si>
  <si>
    <t>0.61H</t>
  </si>
  <si>
    <t>0.66H</t>
  </si>
  <si>
    <t>ft</t>
  </si>
  <si>
    <t>ρ (formation)</t>
  </si>
  <si>
    <t>lbm/ft3</t>
  </si>
  <si>
    <r>
      <t>ρ</t>
    </r>
    <r>
      <rPr>
        <vertAlign val="subscript"/>
        <sz val="11"/>
        <color theme="1"/>
        <rFont val="Arial"/>
        <family val="2"/>
      </rPr>
      <t>o</t>
    </r>
    <r>
      <rPr>
        <sz val="11"/>
        <color theme="1"/>
        <rFont val="Arial"/>
        <family val="2"/>
      </rPr>
      <t xml:space="preserve"> (fluid)</t>
    </r>
  </si>
  <si>
    <t>given,</t>
  </si>
  <si>
    <t>Δp</t>
  </si>
  <si>
    <r>
      <t>σ</t>
    </r>
    <r>
      <rPr>
        <vertAlign val="subscript"/>
        <sz val="11"/>
        <color theme="1"/>
        <rFont val="Arial"/>
        <family val="2"/>
      </rPr>
      <t>v</t>
    </r>
  </si>
  <si>
    <r>
      <t>σ'</t>
    </r>
    <r>
      <rPr>
        <vertAlign val="subscript"/>
        <sz val="11"/>
        <color theme="1"/>
        <rFont val="Arial"/>
        <family val="2"/>
      </rPr>
      <t>v</t>
    </r>
  </si>
  <si>
    <r>
      <t>σ'</t>
    </r>
    <r>
      <rPr>
        <vertAlign val="subscript"/>
        <sz val="11"/>
        <color theme="1"/>
        <rFont val="Arial"/>
        <family val="2"/>
      </rPr>
      <t>H, min</t>
    </r>
  </si>
  <si>
    <r>
      <t>σ</t>
    </r>
    <r>
      <rPr>
        <vertAlign val="subscript"/>
        <sz val="14"/>
        <color theme="1"/>
        <rFont val="Calibri"/>
        <family val="2"/>
        <scheme val="minor"/>
      </rPr>
      <t>v</t>
    </r>
  </si>
  <si>
    <r>
      <t>σ</t>
    </r>
    <r>
      <rPr>
        <vertAlign val="subscript"/>
        <sz val="14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'</t>
    </r>
  </si>
  <si>
    <r>
      <t>σh</t>
    </r>
    <r>
      <rPr>
        <vertAlign val="subscript"/>
        <sz val="16"/>
        <color theme="1"/>
        <rFont val="Calibri"/>
        <family val="2"/>
        <scheme val="minor"/>
      </rPr>
      <t>min</t>
    </r>
  </si>
  <si>
    <r>
      <t>σh</t>
    </r>
    <r>
      <rPr>
        <vertAlign val="subscript"/>
        <sz val="16"/>
        <color theme="1"/>
        <rFont val="Calibri"/>
        <family val="2"/>
        <scheme val="minor"/>
      </rPr>
      <t>max</t>
    </r>
  </si>
  <si>
    <r>
      <t>σ</t>
    </r>
    <r>
      <rPr>
        <vertAlign val="subscript"/>
        <sz val="12"/>
        <color theme="1"/>
        <rFont val="Calibri"/>
        <family val="2"/>
        <scheme val="minor"/>
      </rPr>
      <t>hmin</t>
    </r>
  </si>
  <si>
    <r>
      <t>σ</t>
    </r>
    <r>
      <rPr>
        <vertAlign val="subscript"/>
        <sz val="14"/>
        <color theme="1"/>
        <rFont val="Calibri"/>
        <family val="2"/>
        <scheme val="minor"/>
      </rPr>
      <t>hmax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</si>
</sst>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vertAlign val="subscript"/>
      <sz val="14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17904744540796"/>
          <c:y val="0.16478835600095443"/>
          <c:w val="0.7605696417134461"/>
          <c:h val="0.735771361913094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'Stress distribution'!$I$12</c:f>
              <c:strCache>
                <c:ptCount val="1"/>
                <c:pt idx="0">
                  <c:v>σv</c:v>
                </c:pt>
              </c:strCache>
            </c:strRef>
          </c:tx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'Stress distribution'!$I$13:$I$63</c:f>
              <c:numCache>
                <c:formatCode>General</c:formatCode>
                <c:ptCount val="51"/>
                <c:pt idx="0">
                  <c:v>0</c:v>
                </c:pt>
                <c:pt idx="1">
                  <c:v>229.99999999999997</c:v>
                </c:pt>
                <c:pt idx="2">
                  <c:v>459.99999999999994</c:v>
                </c:pt>
                <c:pt idx="3">
                  <c:v>690</c:v>
                </c:pt>
                <c:pt idx="4">
                  <c:v>919.99999999999989</c:v>
                </c:pt>
                <c:pt idx="5">
                  <c:v>1150</c:v>
                </c:pt>
                <c:pt idx="6">
                  <c:v>1380</c:v>
                </c:pt>
                <c:pt idx="7">
                  <c:v>1609.9999999999998</c:v>
                </c:pt>
                <c:pt idx="8">
                  <c:v>1839.9999999999998</c:v>
                </c:pt>
                <c:pt idx="9">
                  <c:v>2070</c:v>
                </c:pt>
                <c:pt idx="10">
                  <c:v>2300</c:v>
                </c:pt>
                <c:pt idx="11">
                  <c:v>2530</c:v>
                </c:pt>
                <c:pt idx="12">
                  <c:v>2760</c:v>
                </c:pt>
                <c:pt idx="13">
                  <c:v>2989.9999999999995</c:v>
                </c:pt>
                <c:pt idx="14">
                  <c:v>3219.9999999999995</c:v>
                </c:pt>
                <c:pt idx="15">
                  <c:v>3449.9999999999995</c:v>
                </c:pt>
                <c:pt idx="16">
                  <c:v>3679.9999999999995</c:v>
                </c:pt>
                <c:pt idx="17">
                  <c:v>3909.9999999999995</c:v>
                </c:pt>
                <c:pt idx="18">
                  <c:v>4140</c:v>
                </c:pt>
                <c:pt idx="19">
                  <c:v>4370</c:v>
                </c:pt>
                <c:pt idx="20">
                  <c:v>4600</c:v>
                </c:pt>
                <c:pt idx="21">
                  <c:v>4830</c:v>
                </c:pt>
                <c:pt idx="22">
                  <c:v>5060</c:v>
                </c:pt>
                <c:pt idx="23">
                  <c:v>5290</c:v>
                </c:pt>
                <c:pt idx="24">
                  <c:v>5520</c:v>
                </c:pt>
                <c:pt idx="25">
                  <c:v>5750</c:v>
                </c:pt>
                <c:pt idx="26">
                  <c:v>5979.9999999999991</c:v>
                </c:pt>
                <c:pt idx="27">
                  <c:v>6209.9999999999991</c:v>
                </c:pt>
                <c:pt idx="28">
                  <c:v>6439.9999999999991</c:v>
                </c:pt>
                <c:pt idx="29">
                  <c:v>6669.9999999999991</c:v>
                </c:pt>
                <c:pt idx="30">
                  <c:v>6899.9999999999991</c:v>
                </c:pt>
                <c:pt idx="31">
                  <c:v>7129.9999999999991</c:v>
                </c:pt>
                <c:pt idx="32">
                  <c:v>7359.9999999999991</c:v>
                </c:pt>
                <c:pt idx="33">
                  <c:v>7589.9999999999991</c:v>
                </c:pt>
                <c:pt idx="34">
                  <c:v>7819.9999999999991</c:v>
                </c:pt>
                <c:pt idx="35">
                  <c:v>8049.9999999999991</c:v>
                </c:pt>
                <c:pt idx="36">
                  <c:v>8280</c:v>
                </c:pt>
                <c:pt idx="37">
                  <c:v>8510</c:v>
                </c:pt>
                <c:pt idx="38">
                  <c:v>8740</c:v>
                </c:pt>
                <c:pt idx="39">
                  <c:v>8970</c:v>
                </c:pt>
                <c:pt idx="40">
                  <c:v>9200</c:v>
                </c:pt>
                <c:pt idx="41">
                  <c:v>9430</c:v>
                </c:pt>
                <c:pt idx="42">
                  <c:v>9660</c:v>
                </c:pt>
                <c:pt idx="43">
                  <c:v>9890</c:v>
                </c:pt>
                <c:pt idx="44">
                  <c:v>10120</c:v>
                </c:pt>
                <c:pt idx="45">
                  <c:v>10350</c:v>
                </c:pt>
                <c:pt idx="46">
                  <c:v>10580</c:v>
                </c:pt>
                <c:pt idx="47">
                  <c:v>10810</c:v>
                </c:pt>
                <c:pt idx="48">
                  <c:v>11040</c:v>
                </c:pt>
                <c:pt idx="49">
                  <c:v>11270</c:v>
                </c:pt>
                <c:pt idx="50">
                  <c:v>11500</c:v>
                </c:pt>
              </c:numCache>
            </c:numRef>
          </c:xVal>
          <c:yVal>
            <c:numRef>
              <c:f>'Stress distribution'!$H$13:$H$63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1C-4A76-AF65-70A9B64BD26C}"/>
            </c:ext>
          </c:extLst>
        </c:ser>
        <c:ser>
          <c:idx val="1"/>
          <c:order val="1"/>
          <c:tx>
            <c:strRef>
              <c:f>'Stress distribution'!$J$12</c:f>
              <c:strCache>
                <c:ptCount val="1"/>
                <c:pt idx="0">
                  <c:v>σv'</c:v>
                </c:pt>
              </c:strCache>
            </c:strRef>
          </c:tx>
          <c:spPr>
            <a:ln w="19050" cap="rnd">
              <a:solidFill>
                <a:schemeClr val="accent2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'Stress distribution'!$J$13:$J$63</c:f>
              <c:numCache>
                <c:formatCode>General</c:formatCode>
                <c:ptCount val="51"/>
                <c:pt idx="0">
                  <c:v>0</c:v>
                </c:pt>
                <c:pt idx="1">
                  <c:v>176</c:v>
                </c:pt>
                <c:pt idx="2">
                  <c:v>352</c:v>
                </c:pt>
                <c:pt idx="3">
                  <c:v>528</c:v>
                </c:pt>
                <c:pt idx="4">
                  <c:v>704</c:v>
                </c:pt>
                <c:pt idx="5">
                  <c:v>880</c:v>
                </c:pt>
                <c:pt idx="6">
                  <c:v>1056</c:v>
                </c:pt>
                <c:pt idx="7">
                  <c:v>1232</c:v>
                </c:pt>
                <c:pt idx="8">
                  <c:v>1408</c:v>
                </c:pt>
                <c:pt idx="9">
                  <c:v>1584</c:v>
                </c:pt>
                <c:pt idx="10">
                  <c:v>1760</c:v>
                </c:pt>
                <c:pt idx="11">
                  <c:v>1936</c:v>
                </c:pt>
                <c:pt idx="12">
                  <c:v>2112</c:v>
                </c:pt>
                <c:pt idx="13">
                  <c:v>2288</c:v>
                </c:pt>
                <c:pt idx="14">
                  <c:v>2464</c:v>
                </c:pt>
                <c:pt idx="15">
                  <c:v>2640</c:v>
                </c:pt>
                <c:pt idx="16">
                  <c:v>2816</c:v>
                </c:pt>
                <c:pt idx="17">
                  <c:v>2992</c:v>
                </c:pt>
                <c:pt idx="18">
                  <c:v>3168</c:v>
                </c:pt>
                <c:pt idx="19">
                  <c:v>3344</c:v>
                </c:pt>
                <c:pt idx="20">
                  <c:v>3520</c:v>
                </c:pt>
                <c:pt idx="21">
                  <c:v>3696</c:v>
                </c:pt>
                <c:pt idx="22">
                  <c:v>3872</c:v>
                </c:pt>
                <c:pt idx="23">
                  <c:v>4048</c:v>
                </c:pt>
                <c:pt idx="24">
                  <c:v>4224</c:v>
                </c:pt>
                <c:pt idx="25">
                  <c:v>4400</c:v>
                </c:pt>
                <c:pt idx="26">
                  <c:v>4576</c:v>
                </c:pt>
                <c:pt idx="27">
                  <c:v>4752</c:v>
                </c:pt>
                <c:pt idx="28">
                  <c:v>4928</c:v>
                </c:pt>
                <c:pt idx="29">
                  <c:v>5104</c:v>
                </c:pt>
                <c:pt idx="30">
                  <c:v>5280</c:v>
                </c:pt>
                <c:pt idx="31">
                  <c:v>5456</c:v>
                </c:pt>
                <c:pt idx="32">
                  <c:v>5632</c:v>
                </c:pt>
                <c:pt idx="33">
                  <c:v>5808</c:v>
                </c:pt>
                <c:pt idx="34">
                  <c:v>5984</c:v>
                </c:pt>
                <c:pt idx="35">
                  <c:v>6160</c:v>
                </c:pt>
                <c:pt idx="36">
                  <c:v>6336</c:v>
                </c:pt>
                <c:pt idx="37">
                  <c:v>6512</c:v>
                </c:pt>
                <c:pt idx="38">
                  <c:v>6688</c:v>
                </c:pt>
                <c:pt idx="39">
                  <c:v>6864</c:v>
                </c:pt>
                <c:pt idx="40">
                  <c:v>7040</c:v>
                </c:pt>
                <c:pt idx="41">
                  <c:v>7216</c:v>
                </c:pt>
                <c:pt idx="42">
                  <c:v>7392</c:v>
                </c:pt>
                <c:pt idx="43">
                  <c:v>7568</c:v>
                </c:pt>
                <c:pt idx="44">
                  <c:v>7744</c:v>
                </c:pt>
                <c:pt idx="45">
                  <c:v>7920</c:v>
                </c:pt>
                <c:pt idx="46">
                  <c:v>8096</c:v>
                </c:pt>
                <c:pt idx="47">
                  <c:v>8272</c:v>
                </c:pt>
                <c:pt idx="48">
                  <c:v>8448</c:v>
                </c:pt>
                <c:pt idx="49">
                  <c:v>8624</c:v>
                </c:pt>
                <c:pt idx="50">
                  <c:v>8800</c:v>
                </c:pt>
              </c:numCache>
            </c:numRef>
          </c:xVal>
          <c:yVal>
            <c:numRef>
              <c:f>'Stress distribution'!$H$13:$H$63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1C-4A76-AF65-70A9B64BD26C}"/>
            </c:ext>
          </c:extLst>
        </c:ser>
        <c:ser>
          <c:idx val="2"/>
          <c:order val="2"/>
          <c:tx>
            <c:strRef>
              <c:f>'Stress distribution'!$K$12</c:f>
              <c:strCache>
                <c:ptCount val="1"/>
                <c:pt idx="0">
                  <c:v>σH'</c:v>
                </c:pt>
              </c:strCache>
            </c:strRef>
          </c:tx>
          <c:spPr>
            <a:ln w="19050" cap="rnd" cmpd="sng">
              <a:solidFill>
                <a:schemeClr val="tx2">
                  <a:alpha val="46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'Stress distribution'!$K$13:$K$63</c:f>
              <c:numCache>
                <c:formatCode>General</c:formatCode>
                <c:ptCount val="51"/>
                <c:pt idx="0">
                  <c:v>0</c:v>
                </c:pt>
                <c:pt idx="1">
                  <c:v>57.999999999999993</c:v>
                </c:pt>
                <c:pt idx="2">
                  <c:v>115.99999999999999</c:v>
                </c:pt>
                <c:pt idx="3">
                  <c:v>174</c:v>
                </c:pt>
                <c:pt idx="4">
                  <c:v>231.99999999999997</c:v>
                </c:pt>
                <c:pt idx="5">
                  <c:v>290</c:v>
                </c:pt>
                <c:pt idx="6">
                  <c:v>348</c:v>
                </c:pt>
                <c:pt idx="7">
                  <c:v>406</c:v>
                </c:pt>
                <c:pt idx="8">
                  <c:v>463.99999999999994</c:v>
                </c:pt>
                <c:pt idx="9">
                  <c:v>522</c:v>
                </c:pt>
                <c:pt idx="10">
                  <c:v>580</c:v>
                </c:pt>
                <c:pt idx="11">
                  <c:v>638</c:v>
                </c:pt>
                <c:pt idx="12">
                  <c:v>696</c:v>
                </c:pt>
                <c:pt idx="13">
                  <c:v>754</c:v>
                </c:pt>
                <c:pt idx="14">
                  <c:v>812</c:v>
                </c:pt>
                <c:pt idx="15">
                  <c:v>869.99999999999989</c:v>
                </c:pt>
                <c:pt idx="16">
                  <c:v>927.99999999999989</c:v>
                </c:pt>
                <c:pt idx="17">
                  <c:v>985.99999999999989</c:v>
                </c:pt>
                <c:pt idx="18">
                  <c:v>1044</c:v>
                </c:pt>
                <c:pt idx="19">
                  <c:v>1102</c:v>
                </c:pt>
                <c:pt idx="20">
                  <c:v>1160</c:v>
                </c:pt>
                <c:pt idx="21">
                  <c:v>1218</c:v>
                </c:pt>
                <c:pt idx="22">
                  <c:v>1276</c:v>
                </c:pt>
                <c:pt idx="23">
                  <c:v>1334</c:v>
                </c:pt>
                <c:pt idx="24">
                  <c:v>1392</c:v>
                </c:pt>
                <c:pt idx="25">
                  <c:v>1450</c:v>
                </c:pt>
                <c:pt idx="26">
                  <c:v>1508</c:v>
                </c:pt>
                <c:pt idx="27">
                  <c:v>1566</c:v>
                </c:pt>
                <c:pt idx="28">
                  <c:v>1624</c:v>
                </c:pt>
                <c:pt idx="29">
                  <c:v>1681.9999999999998</c:v>
                </c:pt>
                <c:pt idx="30">
                  <c:v>1739.9999999999998</c:v>
                </c:pt>
                <c:pt idx="31">
                  <c:v>1797.9999999999998</c:v>
                </c:pt>
                <c:pt idx="32">
                  <c:v>1855.9999999999998</c:v>
                </c:pt>
                <c:pt idx="33">
                  <c:v>1913.9999999999998</c:v>
                </c:pt>
                <c:pt idx="34">
                  <c:v>1971.9999999999998</c:v>
                </c:pt>
                <c:pt idx="35">
                  <c:v>2029.9999999999998</c:v>
                </c:pt>
                <c:pt idx="36">
                  <c:v>2088</c:v>
                </c:pt>
                <c:pt idx="37">
                  <c:v>2146</c:v>
                </c:pt>
                <c:pt idx="38">
                  <c:v>2204</c:v>
                </c:pt>
                <c:pt idx="39">
                  <c:v>2262</c:v>
                </c:pt>
                <c:pt idx="40">
                  <c:v>2320</c:v>
                </c:pt>
                <c:pt idx="41">
                  <c:v>2378</c:v>
                </c:pt>
                <c:pt idx="42">
                  <c:v>2436</c:v>
                </c:pt>
                <c:pt idx="43">
                  <c:v>2494</c:v>
                </c:pt>
                <c:pt idx="44">
                  <c:v>2552</c:v>
                </c:pt>
                <c:pt idx="45">
                  <c:v>2610</c:v>
                </c:pt>
                <c:pt idx="46">
                  <c:v>2668</c:v>
                </c:pt>
                <c:pt idx="47">
                  <c:v>2726</c:v>
                </c:pt>
                <c:pt idx="48">
                  <c:v>2784</c:v>
                </c:pt>
                <c:pt idx="49">
                  <c:v>2842</c:v>
                </c:pt>
                <c:pt idx="50">
                  <c:v>2900</c:v>
                </c:pt>
              </c:numCache>
            </c:numRef>
          </c:xVal>
          <c:yVal>
            <c:numRef>
              <c:f>'Stress distribution'!$H$13:$H$63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41C-4A76-AF65-70A9B64BD26C}"/>
            </c:ext>
          </c:extLst>
        </c:ser>
        <c:ser>
          <c:idx val="3"/>
          <c:order val="3"/>
          <c:tx>
            <c:strRef>
              <c:f>'Stress distribution'!$L$12</c:f>
              <c:strCache>
                <c:ptCount val="1"/>
                <c:pt idx="0">
                  <c:v>σhmin</c:v>
                </c:pt>
              </c:strCache>
            </c:strRef>
          </c:tx>
          <c:spPr>
            <a:ln w="19050" cap="rnd">
              <a:solidFill>
                <a:schemeClr val="accent4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'Stress distribution'!$L$13:$L$63</c:f>
              <c:numCache>
                <c:formatCode>General</c:formatCode>
                <c:ptCount val="51"/>
                <c:pt idx="0">
                  <c:v>0</c:v>
                </c:pt>
                <c:pt idx="1">
                  <c:v>112.99999999999999</c:v>
                </c:pt>
                <c:pt idx="2">
                  <c:v>225.99999999999997</c:v>
                </c:pt>
                <c:pt idx="3">
                  <c:v>338.99999999999994</c:v>
                </c:pt>
                <c:pt idx="4">
                  <c:v>451.99999999999994</c:v>
                </c:pt>
                <c:pt idx="5">
                  <c:v>565</c:v>
                </c:pt>
                <c:pt idx="6">
                  <c:v>677.99999999999989</c:v>
                </c:pt>
                <c:pt idx="7">
                  <c:v>790.99999999999989</c:v>
                </c:pt>
                <c:pt idx="8">
                  <c:v>903.99999999999989</c:v>
                </c:pt>
                <c:pt idx="9">
                  <c:v>1016.9999999999999</c:v>
                </c:pt>
                <c:pt idx="10">
                  <c:v>1130</c:v>
                </c:pt>
                <c:pt idx="11">
                  <c:v>1242.9999999999998</c:v>
                </c:pt>
                <c:pt idx="12">
                  <c:v>1355.9999999999998</c:v>
                </c:pt>
                <c:pt idx="13">
                  <c:v>1468.9999999999998</c:v>
                </c:pt>
                <c:pt idx="14">
                  <c:v>1581.9999999999998</c:v>
                </c:pt>
                <c:pt idx="15">
                  <c:v>1694.9999999999998</c:v>
                </c:pt>
                <c:pt idx="16">
                  <c:v>1807.9999999999998</c:v>
                </c:pt>
                <c:pt idx="17">
                  <c:v>1920.9999999999998</c:v>
                </c:pt>
                <c:pt idx="18">
                  <c:v>2033.9999999999998</c:v>
                </c:pt>
                <c:pt idx="19">
                  <c:v>2147</c:v>
                </c:pt>
                <c:pt idx="20">
                  <c:v>2260</c:v>
                </c:pt>
                <c:pt idx="21">
                  <c:v>2373</c:v>
                </c:pt>
                <c:pt idx="22">
                  <c:v>2485.9999999999995</c:v>
                </c:pt>
                <c:pt idx="23">
                  <c:v>2598.9999999999995</c:v>
                </c:pt>
                <c:pt idx="24">
                  <c:v>2711.9999999999995</c:v>
                </c:pt>
                <c:pt idx="25">
                  <c:v>2824.9999999999995</c:v>
                </c:pt>
                <c:pt idx="26">
                  <c:v>2937.9999999999995</c:v>
                </c:pt>
                <c:pt idx="27">
                  <c:v>3050.9999999999995</c:v>
                </c:pt>
                <c:pt idx="28">
                  <c:v>3163.9999999999995</c:v>
                </c:pt>
                <c:pt idx="29">
                  <c:v>3276.9999999999995</c:v>
                </c:pt>
                <c:pt idx="30">
                  <c:v>3389.9999999999995</c:v>
                </c:pt>
                <c:pt idx="31">
                  <c:v>3502.9999999999995</c:v>
                </c:pt>
                <c:pt idx="32">
                  <c:v>3615.9999999999995</c:v>
                </c:pt>
                <c:pt idx="33">
                  <c:v>3728.9999999999995</c:v>
                </c:pt>
                <c:pt idx="34">
                  <c:v>3841.9999999999995</c:v>
                </c:pt>
                <c:pt idx="35">
                  <c:v>3954.9999999999995</c:v>
                </c:pt>
                <c:pt idx="36">
                  <c:v>4067.9999999999995</c:v>
                </c:pt>
                <c:pt idx="37">
                  <c:v>4181</c:v>
                </c:pt>
                <c:pt idx="38">
                  <c:v>4294</c:v>
                </c:pt>
                <c:pt idx="39">
                  <c:v>4407</c:v>
                </c:pt>
                <c:pt idx="40">
                  <c:v>4520</c:v>
                </c:pt>
                <c:pt idx="41">
                  <c:v>4633</c:v>
                </c:pt>
                <c:pt idx="42">
                  <c:v>4746</c:v>
                </c:pt>
                <c:pt idx="43">
                  <c:v>4858.9999999999991</c:v>
                </c:pt>
                <c:pt idx="44">
                  <c:v>4971.9999999999991</c:v>
                </c:pt>
                <c:pt idx="45">
                  <c:v>5084.9999999999991</c:v>
                </c:pt>
                <c:pt idx="46">
                  <c:v>5197.9999999999991</c:v>
                </c:pt>
                <c:pt idx="47">
                  <c:v>5310.9999999999991</c:v>
                </c:pt>
                <c:pt idx="48">
                  <c:v>5423.9999999999991</c:v>
                </c:pt>
                <c:pt idx="49">
                  <c:v>5536.9999999999991</c:v>
                </c:pt>
                <c:pt idx="50">
                  <c:v>5649.9999999999991</c:v>
                </c:pt>
              </c:numCache>
            </c:numRef>
          </c:xVal>
          <c:yVal>
            <c:numRef>
              <c:f>'Stress distribution'!$H$13:$H$63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41C-4A76-AF65-70A9B64BD26C}"/>
            </c:ext>
          </c:extLst>
        </c:ser>
        <c:ser>
          <c:idx val="4"/>
          <c:order val="4"/>
          <c:tx>
            <c:strRef>
              <c:f>'Stress distribution'!$M$12</c:f>
              <c:strCache>
                <c:ptCount val="1"/>
                <c:pt idx="0">
                  <c:v>σhmax</c:v>
                </c:pt>
              </c:strCache>
            </c:strRef>
          </c:tx>
          <c:spPr>
            <a:ln w="19050" cap="rnd">
              <a:solidFill>
                <a:schemeClr val="tx2">
                  <a:alpha val="79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'Stress distribution'!$M$13:$M$63</c:f>
              <c:numCache>
                <c:formatCode>General</c:formatCode>
                <c:ptCount val="51"/>
                <c:pt idx="0">
                  <c:v>2000</c:v>
                </c:pt>
                <c:pt idx="1">
                  <c:v>2113</c:v>
                </c:pt>
                <c:pt idx="2">
                  <c:v>2226</c:v>
                </c:pt>
                <c:pt idx="3">
                  <c:v>2339</c:v>
                </c:pt>
                <c:pt idx="4">
                  <c:v>2452</c:v>
                </c:pt>
                <c:pt idx="5">
                  <c:v>2565</c:v>
                </c:pt>
                <c:pt idx="6">
                  <c:v>2678</c:v>
                </c:pt>
                <c:pt idx="7">
                  <c:v>2791</c:v>
                </c:pt>
                <c:pt idx="8">
                  <c:v>2904</c:v>
                </c:pt>
                <c:pt idx="9">
                  <c:v>3017</c:v>
                </c:pt>
                <c:pt idx="10">
                  <c:v>3130</c:v>
                </c:pt>
                <c:pt idx="11">
                  <c:v>3243</c:v>
                </c:pt>
                <c:pt idx="12">
                  <c:v>3356</c:v>
                </c:pt>
                <c:pt idx="13">
                  <c:v>3469</c:v>
                </c:pt>
                <c:pt idx="14">
                  <c:v>3582</c:v>
                </c:pt>
                <c:pt idx="15">
                  <c:v>3695</c:v>
                </c:pt>
                <c:pt idx="16">
                  <c:v>3808</c:v>
                </c:pt>
                <c:pt idx="17">
                  <c:v>3921</c:v>
                </c:pt>
                <c:pt idx="18">
                  <c:v>4034</c:v>
                </c:pt>
                <c:pt idx="19">
                  <c:v>4147</c:v>
                </c:pt>
                <c:pt idx="20">
                  <c:v>4260</c:v>
                </c:pt>
                <c:pt idx="21">
                  <c:v>4373</c:v>
                </c:pt>
                <c:pt idx="22">
                  <c:v>4486</c:v>
                </c:pt>
                <c:pt idx="23">
                  <c:v>4599</c:v>
                </c:pt>
                <c:pt idx="24">
                  <c:v>4712</c:v>
                </c:pt>
                <c:pt idx="25">
                  <c:v>4825</c:v>
                </c:pt>
                <c:pt idx="26">
                  <c:v>4938</c:v>
                </c:pt>
                <c:pt idx="27">
                  <c:v>5051</c:v>
                </c:pt>
                <c:pt idx="28">
                  <c:v>5164</c:v>
                </c:pt>
                <c:pt idx="29">
                  <c:v>5277</c:v>
                </c:pt>
                <c:pt idx="30">
                  <c:v>5390</c:v>
                </c:pt>
                <c:pt idx="31">
                  <c:v>5503</c:v>
                </c:pt>
                <c:pt idx="32">
                  <c:v>5616</c:v>
                </c:pt>
                <c:pt idx="33">
                  <c:v>5729</c:v>
                </c:pt>
                <c:pt idx="34">
                  <c:v>5842</c:v>
                </c:pt>
                <c:pt idx="35">
                  <c:v>5955</c:v>
                </c:pt>
                <c:pt idx="36">
                  <c:v>6068</c:v>
                </c:pt>
                <c:pt idx="37">
                  <c:v>6181</c:v>
                </c:pt>
                <c:pt idx="38">
                  <c:v>6294</c:v>
                </c:pt>
                <c:pt idx="39">
                  <c:v>6407</c:v>
                </c:pt>
                <c:pt idx="40">
                  <c:v>6520</c:v>
                </c:pt>
                <c:pt idx="41">
                  <c:v>6633</c:v>
                </c:pt>
                <c:pt idx="42">
                  <c:v>6746</c:v>
                </c:pt>
                <c:pt idx="43">
                  <c:v>6858.9999999999991</c:v>
                </c:pt>
                <c:pt idx="44">
                  <c:v>6971.9999999999991</c:v>
                </c:pt>
                <c:pt idx="45">
                  <c:v>7084.9999999999991</c:v>
                </c:pt>
                <c:pt idx="46">
                  <c:v>7197.9999999999991</c:v>
                </c:pt>
                <c:pt idx="47">
                  <c:v>7310.9999999999991</c:v>
                </c:pt>
                <c:pt idx="48">
                  <c:v>7423.9999999999991</c:v>
                </c:pt>
                <c:pt idx="49">
                  <c:v>7536.9999999999991</c:v>
                </c:pt>
                <c:pt idx="50">
                  <c:v>7649.9999999999991</c:v>
                </c:pt>
              </c:numCache>
            </c:numRef>
          </c:xVal>
          <c:yVal>
            <c:numRef>
              <c:f>'Stress distribution'!$H$13:$H$63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41C-4A76-AF65-70A9B64B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894192"/>
        <c:axId val="413893472"/>
      </c:scatterChart>
      <c:valAx>
        <c:axId val="4138941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93472"/>
        <c:crosses val="autoZero"/>
        <c:crossBetween val="midCat"/>
      </c:valAx>
      <c:valAx>
        <c:axId val="41389347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depth(ft)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9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23156456732742"/>
          <c:y val="0.23924596161180978"/>
          <c:w val="0.12623935096125122"/>
          <c:h val="0.6977560233129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accent1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739500703033402E-2"/>
          <c:y val="0.10401930339657905"/>
          <c:w val="0.80896450443694534"/>
          <c:h val="0.837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'Sand_shale Sandwitch'!$G$6</c:f>
              <c:strCache>
                <c:ptCount val="1"/>
                <c:pt idx="0">
                  <c:v>v=0.25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'Sand_shale Sandwitch'!$K$8:$K$48</c:f>
              <c:numCache>
                <c:formatCode>General</c:formatCode>
                <c:ptCount val="41"/>
                <c:pt idx="0">
                  <c:v>5642.9999999999991</c:v>
                </c:pt>
                <c:pt idx="1">
                  <c:v>5645.8499999999995</c:v>
                </c:pt>
                <c:pt idx="2">
                  <c:v>5648.7</c:v>
                </c:pt>
                <c:pt idx="3">
                  <c:v>5651.5499999999993</c:v>
                </c:pt>
                <c:pt idx="4">
                  <c:v>5654.4</c:v>
                </c:pt>
                <c:pt idx="5">
                  <c:v>5657.2499999999991</c:v>
                </c:pt>
                <c:pt idx="6">
                  <c:v>5660.0999999999995</c:v>
                </c:pt>
                <c:pt idx="7">
                  <c:v>5662.95</c:v>
                </c:pt>
                <c:pt idx="8">
                  <c:v>5665.7999999999993</c:v>
                </c:pt>
                <c:pt idx="9">
                  <c:v>5668.65</c:v>
                </c:pt>
                <c:pt idx="10">
                  <c:v>5671.4999999999991</c:v>
                </c:pt>
                <c:pt idx="11">
                  <c:v>5674.3499999999995</c:v>
                </c:pt>
                <c:pt idx="12">
                  <c:v>5677.2</c:v>
                </c:pt>
                <c:pt idx="13">
                  <c:v>5680.0499999999993</c:v>
                </c:pt>
                <c:pt idx="14">
                  <c:v>5682.9</c:v>
                </c:pt>
                <c:pt idx="15">
                  <c:v>5685.7499999999991</c:v>
                </c:pt>
                <c:pt idx="16">
                  <c:v>5688.5999999999995</c:v>
                </c:pt>
                <c:pt idx="17">
                  <c:v>5691.45</c:v>
                </c:pt>
                <c:pt idx="18">
                  <c:v>5694.2999999999993</c:v>
                </c:pt>
                <c:pt idx="19">
                  <c:v>5697.15</c:v>
                </c:pt>
                <c:pt idx="20">
                  <c:v>5699.9999999999991</c:v>
                </c:pt>
                <c:pt idx="21">
                  <c:v>5702.8499999999995</c:v>
                </c:pt>
                <c:pt idx="22">
                  <c:v>5705.7</c:v>
                </c:pt>
                <c:pt idx="23">
                  <c:v>5708.5499999999993</c:v>
                </c:pt>
                <c:pt idx="24">
                  <c:v>5711.4</c:v>
                </c:pt>
                <c:pt idx="25">
                  <c:v>5714.2499999999991</c:v>
                </c:pt>
                <c:pt idx="26">
                  <c:v>5717.0999999999995</c:v>
                </c:pt>
                <c:pt idx="27">
                  <c:v>5719.95</c:v>
                </c:pt>
                <c:pt idx="28">
                  <c:v>5722.7999999999993</c:v>
                </c:pt>
                <c:pt idx="29">
                  <c:v>5725.65</c:v>
                </c:pt>
                <c:pt idx="30">
                  <c:v>5728.4999999999991</c:v>
                </c:pt>
                <c:pt idx="31">
                  <c:v>5731.3499999999995</c:v>
                </c:pt>
                <c:pt idx="32">
                  <c:v>5734.2</c:v>
                </c:pt>
                <c:pt idx="33">
                  <c:v>5737.0499999999993</c:v>
                </c:pt>
                <c:pt idx="34">
                  <c:v>5739.9</c:v>
                </c:pt>
                <c:pt idx="35">
                  <c:v>5742.7499999999991</c:v>
                </c:pt>
                <c:pt idx="36">
                  <c:v>5745.5999999999995</c:v>
                </c:pt>
                <c:pt idx="37">
                  <c:v>5748.45</c:v>
                </c:pt>
                <c:pt idx="38">
                  <c:v>5751.2999999999993</c:v>
                </c:pt>
                <c:pt idx="39">
                  <c:v>5754.15</c:v>
                </c:pt>
                <c:pt idx="40">
                  <c:v>5756.9999999999991</c:v>
                </c:pt>
              </c:numCache>
            </c:numRef>
          </c:xVal>
          <c:yVal>
            <c:numRef>
              <c:f>'Sand_shale Sandwitch'!$G$8:$G$48</c:f>
              <c:numCache>
                <c:formatCode>General</c:formatCode>
                <c:ptCount val="41"/>
                <c:pt idx="0">
                  <c:v>9900</c:v>
                </c:pt>
                <c:pt idx="1">
                  <c:v>9905</c:v>
                </c:pt>
                <c:pt idx="2">
                  <c:v>9910</c:v>
                </c:pt>
                <c:pt idx="3">
                  <c:v>9915</c:v>
                </c:pt>
                <c:pt idx="4">
                  <c:v>9920</c:v>
                </c:pt>
                <c:pt idx="5">
                  <c:v>9925</c:v>
                </c:pt>
                <c:pt idx="6">
                  <c:v>9930</c:v>
                </c:pt>
                <c:pt idx="7">
                  <c:v>9935</c:v>
                </c:pt>
                <c:pt idx="8">
                  <c:v>9940</c:v>
                </c:pt>
                <c:pt idx="9">
                  <c:v>9945</c:v>
                </c:pt>
                <c:pt idx="10">
                  <c:v>9950</c:v>
                </c:pt>
                <c:pt idx="11">
                  <c:v>9955</c:v>
                </c:pt>
                <c:pt idx="12">
                  <c:v>9960</c:v>
                </c:pt>
                <c:pt idx="13">
                  <c:v>9965</c:v>
                </c:pt>
                <c:pt idx="14">
                  <c:v>9970</c:v>
                </c:pt>
                <c:pt idx="15">
                  <c:v>9975</c:v>
                </c:pt>
                <c:pt idx="16">
                  <c:v>9980</c:v>
                </c:pt>
                <c:pt idx="17">
                  <c:v>9985</c:v>
                </c:pt>
                <c:pt idx="18">
                  <c:v>9990</c:v>
                </c:pt>
                <c:pt idx="19">
                  <c:v>9995</c:v>
                </c:pt>
                <c:pt idx="20">
                  <c:v>10000</c:v>
                </c:pt>
                <c:pt idx="21">
                  <c:v>10005</c:v>
                </c:pt>
                <c:pt idx="22">
                  <c:v>10010</c:v>
                </c:pt>
                <c:pt idx="23">
                  <c:v>10015</c:v>
                </c:pt>
                <c:pt idx="24">
                  <c:v>10020</c:v>
                </c:pt>
                <c:pt idx="25">
                  <c:v>10025</c:v>
                </c:pt>
                <c:pt idx="26">
                  <c:v>10030</c:v>
                </c:pt>
                <c:pt idx="27">
                  <c:v>10035</c:v>
                </c:pt>
                <c:pt idx="28">
                  <c:v>10040</c:v>
                </c:pt>
                <c:pt idx="29">
                  <c:v>10045</c:v>
                </c:pt>
                <c:pt idx="30">
                  <c:v>10050</c:v>
                </c:pt>
                <c:pt idx="31">
                  <c:v>10055</c:v>
                </c:pt>
                <c:pt idx="32">
                  <c:v>10060</c:v>
                </c:pt>
                <c:pt idx="33">
                  <c:v>10065</c:v>
                </c:pt>
                <c:pt idx="34">
                  <c:v>10070</c:v>
                </c:pt>
                <c:pt idx="35">
                  <c:v>10075</c:v>
                </c:pt>
                <c:pt idx="36">
                  <c:v>10080</c:v>
                </c:pt>
                <c:pt idx="37">
                  <c:v>10085</c:v>
                </c:pt>
                <c:pt idx="38">
                  <c:v>10090</c:v>
                </c:pt>
                <c:pt idx="39">
                  <c:v>10095</c:v>
                </c:pt>
                <c:pt idx="40">
                  <c:v>10100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79-4818-AA36-BB525E28B2FC}"/>
            </c:ext>
          </c:extLst>
        </c:ser>
        <c:ser>
          <c:idx val="1"/>
          <c:order val="1"/>
          <c:tx>
            <c:strRef>
              <c:f>'Sand_shale Sandwitch'!$Q$6</c:f>
              <c:strCache>
                <c:ptCount val="1"/>
                <c:pt idx="0">
                  <c:v>v=0.27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'Sand_shale Sandwitch'!$U$8:$U$56</c:f>
              <c:numCache>
                <c:formatCode>General</c:formatCode>
                <c:ptCount val="49"/>
                <c:pt idx="0">
                  <c:v>6045.71</c:v>
                </c:pt>
                <c:pt idx="1">
                  <c:v>6046.32</c:v>
                </c:pt>
                <c:pt idx="2">
                  <c:v>6046.93</c:v>
                </c:pt>
                <c:pt idx="3">
                  <c:v>6047.54</c:v>
                </c:pt>
                <c:pt idx="4">
                  <c:v>6048.15</c:v>
                </c:pt>
                <c:pt idx="5">
                  <c:v>6048.76</c:v>
                </c:pt>
                <c:pt idx="6">
                  <c:v>6049.37</c:v>
                </c:pt>
                <c:pt idx="7">
                  <c:v>6049.98</c:v>
                </c:pt>
                <c:pt idx="8">
                  <c:v>6050.59</c:v>
                </c:pt>
                <c:pt idx="9">
                  <c:v>6051.2</c:v>
                </c:pt>
                <c:pt idx="10">
                  <c:v>6051.8099999999995</c:v>
                </c:pt>
                <c:pt idx="11">
                  <c:v>6052.42</c:v>
                </c:pt>
                <c:pt idx="12">
                  <c:v>6053.03</c:v>
                </c:pt>
                <c:pt idx="13">
                  <c:v>6053.6399999999994</c:v>
                </c:pt>
                <c:pt idx="14">
                  <c:v>6054.25</c:v>
                </c:pt>
                <c:pt idx="15">
                  <c:v>6054.86</c:v>
                </c:pt>
                <c:pt idx="16">
                  <c:v>6055.47</c:v>
                </c:pt>
                <c:pt idx="17">
                  <c:v>6056.08</c:v>
                </c:pt>
                <c:pt idx="18">
                  <c:v>6056.69</c:v>
                </c:pt>
                <c:pt idx="19">
                  <c:v>6057.3</c:v>
                </c:pt>
                <c:pt idx="20">
                  <c:v>6057.91</c:v>
                </c:pt>
                <c:pt idx="21">
                  <c:v>6058.5199999999995</c:v>
                </c:pt>
                <c:pt idx="22">
                  <c:v>6059.13</c:v>
                </c:pt>
                <c:pt idx="23">
                  <c:v>6059.74</c:v>
                </c:pt>
                <c:pt idx="24">
                  <c:v>6060.3499999999995</c:v>
                </c:pt>
                <c:pt idx="25">
                  <c:v>6060.96</c:v>
                </c:pt>
                <c:pt idx="26">
                  <c:v>6061.57</c:v>
                </c:pt>
                <c:pt idx="27">
                  <c:v>6062.18</c:v>
                </c:pt>
                <c:pt idx="28">
                  <c:v>6062.79</c:v>
                </c:pt>
                <c:pt idx="29">
                  <c:v>6063.4</c:v>
                </c:pt>
                <c:pt idx="30">
                  <c:v>6064.01</c:v>
                </c:pt>
                <c:pt idx="31">
                  <c:v>6064.62</c:v>
                </c:pt>
                <c:pt idx="32">
                  <c:v>6065.23</c:v>
                </c:pt>
                <c:pt idx="33">
                  <c:v>6065.84</c:v>
                </c:pt>
                <c:pt idx="34">
                  <c:v>6066.45</c:v>
                </c:pt>
                <c:pt idx="35">
                  <c:v>6067.0599999999995</c:v>
                </c:pt>
                <c:pt idx="36">
                  <c:v>6067.67</c:v>
                </c:pt>
                <c:pt idx="37">
                  <c:v>6068.28</c:v>
                </c:pt>
                <c:pt idx="38">
                  <c:v>6068.8899999999994</c:v>
                </c:pt>
                <c:pt idx="39">
                  <c:v>6069.5</c:v>
                </c:pt>
                <c:pt idx="40">
                  <c:v>6070.11</c:v>
                </c:pt>
                <c:pt idx="41">
                  <c:v>6070.72</c:v>
                </c:pt>
                <c:pt idx="42">
                  <c:v>6071.33</c:v>
                </c:pt>
                <c:pt idx="43">
                  <c:v>6071.94</c:v>
                </c:pt>
                <c:pt idx="44">
                  <c:v>6072.55</c:v>
                </c:pt>
                <c:pt idx="45">
                  <c:v>6073.16</c:v>
                </c:pt>
                <c:pt idx="46">
                  <c:v>6073.7699999999995</c:v>
                </c:pt>
                <c:pt idx="47">
                  <c:v>6074.38</c:v>
                </c:pt>
                <c:pt idx="48">
                  <c:v>6074.99</c:v>
                </c:pt>
              </c:numCache>
            </c:numRef>
          </c:xVal>
          <c:yVal>
            <c:numRef>
              <c:f>'Sand_shale Sandwitch'!$Q$8:$Q$56</c:f>
              <c:numCache>
                <c:formatCode>General</c:formatCode>
                <c:ptCount val="49"/>
                <c:pt idx="0">
                  <c:v>9911</c:v>
                </c:pt>
                <c:pt idx="1">
                  <c:v>9912</c:v>
                </c:pt>
                <c:pt idx="2">
                  <c:v>9913</c:v>
                </c:pt>
                <c:pt idx="3">
                  <c:v>9914</c:v>
                </c:pt>
                <c:pt idx="4">
                  <c:v>9915</c:v>
                </c:pt>
                <c:pt idx="5">
                  <c:v>9916</c:v>
                </c:pt>
                <c:pt idx="6">
                  <c:v>9917</c:v>
                </c:pt>
                <c:pt idx="7">
                  <c:v>9918</c:v>
                </c:pt>
                <c:pt idx="8">
                  <c:v>9919</c:v>
                </c:pt>
                <c:pt idx="9">
                  <c:v>9920</c:v>
                </c:pt>
                <c:pt idx="10">
                  <c:v>9921</c:v>
                </c:pt>
                <c:pt idx="11">
                  <c:v>9922</c:v>
                </c:pt>
                <c:pt idx="12">
                  <c:v>9923</c:v>
                </c:pt>
                <c:pt idx="13">
                  <c:v>9924</c:v>
                </c:pt>
                <c:pt idx="14">
                  <c:v>9925</c:v>
                </c:pt>
                <c:pt idx="15">
                  <c:v>9926</c:v>
                </c:pt>
                <c:pt idx="16">
                  <c:v>9927</c:v>
                </c:pt>
                <c:pt idx="17">
                  <c:v>9928</c:v>
                </c:pt>
                <c:pt idx="18">
                  <c:v>9929</c:v>
                </c:pt>
                <c:pt idx="19">
                  <c:v>9930</c:v>
                </c:pt>
                <c:pt idx="20">
                  <c:v>9931</c:v>
                </c:pt>
                <c:pt idx="21">
                  <c:v>9932</c:v>
                </c:pt>
                <c:pt idx="22">
                  <c:v>9933</c:v>
                </c:pt>
                <c:pt idx="23">
                  <c:v>9934</c:v>
                </c:pt>
                <c:pt idx="24">
                  <c:v>9935</c:v>
                </c:pt>
                <c:pt idx="25">
                  <c:v>9936</c:v>
                </c:pt>
                <c:pt idx="26">
                  <c:v>9937</c:v>
                </c:pt>
                <c:pt idx="27">
                  <c:v>9938</c:v>
                </c:pt>
                <c:pt idx="28">
                  <c:v>9939</c:v>
                </c:pt>
                <c:pt idx="29">
                  <c:v>9940</c:v>
                </c:pt>
                <c:pt idx="30">
                  <c:v>9941</c:v>
                </c:pt>
                <c:pt idx="31">
                  <c:v>9942</c:v>
                </c:pt>
                <c:pt idx="32">
                  <c:v>9943</c:v>
                </c:pt>
                <c:pt idx="33">
                  <c:v>9944</c:v>
                </c:pt>
                <c:pt idx="34">
                  <c:v>9945</c:v>
                </c:pt>
                <c:pt idx="35">
                  <c:v>9946</c:v>
                </c:pt>
                <c:pt idx="36">
                  <c:v>9947</c:v>
                </c:pt>
                <c:pt idx="37">
                  <c:v>9948</c:v>
                </c:pt>
                <c:pt idx="38">
                  <c:v>9949</c:v>
                </c:pt>
                <c:pt idx="39">
                  <c:v>9950</c:v>
                </c:pt>
                <c:pt idx="40">
                  <c:v>9951</c:v>
                </c:pt>
                <c:pt idx="41">
                  <c:v>9952</c:v>
                </c:pt>
                <c:pt idx="42">
                  <c:v>9953</c:v>
                </c:pt>
                <c:pt idx="43">
                  <c:v>9954</c:v>
                </c:pt>
                <c:pt idx="44">
                  <c:v>9955</c:v>
                </c:pt>
                <c:pt idx="45">
                  <c:v>9956</c:v>
                </c:pt>
                <c:pt idx="46">
                  <c:v>9957</c:v>
                </c:pt>
                <c:pt idx="47">
                  <c:v>9958</c:v>
                </c:pt>
                <c:pt idx="48">
                  <c:v>9959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9-4818-AA36-BB525E28B2FC}"/>
            </c:ext>
          </c:extLst>
        </c:ser>
        <c:ser>
          <c:idx val="2"/>
          <c:order val="2"/>
          <c:tx>
            <c:strRef>
              <c:f>'Sand_shale Sandwitch'!$AH$6</c:f>
              <c:strCache>
                <c:ptCount val="1"/>
                <c:pt idx="0">
                  <c:v>v=0.3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'Sand_shale Sandwitch'!$AL$8:$AL$56</c:f>
              <c:numCache>
                <c:formatCode>General</c:formatCode>
                <c:ptCount val="49"/>
                <c:pt idx="0">
                  <c:v>6541.26</c:v>
                </c:pt>
                <c:pt idx="1">
                  <c:v>6541.92</c:v>
                </c:pt>
                <c:pt idx="2">
                  <c:v>6542.58</c:v>
                </c:pt>
                <c:pt idx="3">
                  <c:v>6543.2400000000007</c:v>
                </c:pt>
                <c:pt idx="4">
                  <c:v>6543.9000000000005</c:v>
                </c:pt>
                <c:pt idx="5">
                  <c:v>6544.56</c:v>
                </c:pt>
                <c:pt idx="6">
                  <c:v>6545.22</c:v>
                </c:pt>
                <c:pt idx="7">
                  <c:v>6545.88</c:v>
                </c:pt>
                <c:pt idx="8">
                  <c:v>6546.54</c:v>
                </c:pt>
                <c:pt idx="9">
                  <c:v>6547.2000000000007</c:v>
                </c:pt>
                <c:pt idx="10">
                  <c:v>6547.8600000000006</c:v>
                </c:pt>
                <c:pt idx="11">
                  <c:v>6548.52</c:v>
                </c:pt>
                <c:pt idx="12">
                  <c:v>6549.18</c:v>
                </c:pt>
                <c:pt idx="13">
                  <c:v>6549.84</c:v>
                </c:pt>
                <c:pt idx="14">
                  <c:v>6550.5</c:v>
                </c:pt>
                <c:pt idx="15">
                  <c:v>6551.16</c:v>
                </c:pt>
                <c:pt idx="16">
                  <c:v>6551.8200000000006</c:v>
                </c:pt>
                <c:pt idx="17">
                  <c:v>6552.4800000000005</c:v>
                </c:pt>
                <c:pt idx="18">
                  <c:v>6553.14</c:v>
                </c:pt>
                <c:pt idx="19">
                  <c:v>6553.8</c:v>
                </c:pt>
                <c:pt idx="20">
                  <c:v>6554.46</c:v>
                </c:pt>
                <c:pt idx="21">
                  <c:v>6555.12</c:v>
                </c:pt>
                <c:pt idx="22">
                  <c:v>6555.7800000000007</c:v>
                </c:pt>
                <c:pt idx="23">
                  <c:v>6556.4400000000005</c:v>
                </c:pt>
                <c:pt idx="24">
                  <c:v>6557.1</c:v>
                </c:pt>
                <c:pt idx="25">
                  <c:v>6557.76</c:v>
                </c:pt>
                <c:pt idx="26">
                  <c:v>6558.42</c:v>
                </c:pt>
                <c:pt idx="27">
                  <c:v>6559.08</c:v>
                </c:pt>
                <c:pt idx="28">
                  <c:v>6559.7400000000007</c:v>
                </c:pt>
                <c:pt idx="29">
                  <c:v>6560.4000000000005</c:v>
                </c:pt>
                <c:pt idx="30">
                  <c:v>6561.06</c:v>
                </c:pt>
                <c:pt idx="31">
                  <c:v>6561.72</c:v>
                </c:pt>
                <c:pt idx="32">
                  <c:v>6562.38</c:v>
                </c:pt>
                <c:pt idx="33">
                  <c:v>6563.04</c:v>
                </c:pt>
                <c:pt idx="34">
                  <c:v>6563.7000000000007</c:v>
                </c:pt>
                <c:pt idx="35">
                  <c:v>6564.3600000000006</c:v>
                </c:pt>
                <c:pt idx="36">
                  <c:v>6565.02</c:v>
                </c:pt>
                <c:pt idx="37">
                  <c:v>6565.68</c:v>
                </c:pt>
                <c:pt idx="38">
                  <c:v>6566.34</c:v>
                </c:pt>
                <c:pt idx="39">
                  <c:v>6567</c:v>
                </c:pt>
                <c:pt idx="40">
                  <c:v>6567.66</c:v>
                </c:pt>
                <c:pt idx="41">
                  <c:v>6568.3200000000006</c:v>
                </c:pt>
                <c:pt idx="42">
                  <c:v>6568.9800000000005</c:v>
                </c:pt>
                <c:pt idx="43">
                  <c:v>6569.64</c:v>
                </c:pt>
                <c:pt idx="44">
                  <c:v>6570.3</c:v>
                </c:pt>
                <c:pt idx="45">
                  <c:v>6570.96</c:v>
                </c:pt>
                <c:pt idx="46">
                  <c:v>6571.62</c:v>
                </c:pt>
                <c:pt idx="47">
                  <c:v>6572.2800000000007</c:v>
                </c:pt>
                <c:pt idx="48">
                  <c:v>6572.9400000000005</c:v>
                </c:pt>
              </c:numCache>
            </c:numRef>
          </c:xVal>
          <c:yVal>
            <c:numRef>
              <c:f>'Sand_shale Sandwitch'!$AH$8:$AH$56</c:f>
              <c:numCache>
                <c:formatCode>General</c:formatCode>
                <c:ptCount val="49"/>
                <c:pt idx="0">
                  <c:v>9911</c:v>
                </c:pt>
                <c:pt idx="1">
                  <c:v>9912</c:v>
                </c:pt>
                <c:pt idx="2">
                  <c:v>9913</c:v>
                </c:pt>
                <c:pt idx="3">
                  <c:v>9914</c:v>
                </c:pt>
                <c:pt idx="4">
                  <c:v>9915</c:v>
                </c:pt>
                <c:pt idx="5">
                  <c:v>9916</c:v>
                </c:pt>
                <c:pt idx="6">
                  <c:v>9917</c:v>
                </c:pt>
                <c:pt idx="7">
                  <c:v>9918</c:v>
                </c:pt>
                <c:pt idx="8">
                  <c:v>9919</c:v>
                </c:pt>
                <c:pt idx="9">
                  <c:v>9920</c:v>
                </c:pt>
                <c:pt idx="10">
                  <c:v>9921</c:v>
                </c:pt>
                <c:pt idx="11">
                  <c:v>9922</c:v>
                </c:pt>
                <c:pt idx="12">
                  <c:v>9923</c:v>
                </c:pt>
                <c:pt idx="13">
                  <c:v>9924</c:v>
                </c:pt>
                <c:pt idx="14">
                  <c:v>9925</c:v>
                </c:pt>
                <c:pt idx="15">
                  <c:v>9926</c:v>
                </c:pt>
                <c:pt idx="16">
                  <c:v>9927</c:v>
                </c:pt>
                <c:pt idx="17">
                  <c:v>9928</c:v>
                </c:pt>
                <c:pt idx="18">
                  <c:v>9929</c:v>
                </c:pt>
                <c:pt idx="19">
                  <c:v>9930</c:v>
                </c:pt>
                <c:pt idx="20">
                  <c:v>9931</c:v>
                </c:pt>
                <c:pt idx="21">
                  <c:v>9932</c:v>
                </c:pt>
                <c:pt idx="22">
                  <c:v>9933</c:v>
                </c:pt>
                <c:pt idx="23">
                  <c:v>9934</c:v>
                </c:pt>
                <c:pt idx="24">
                  <c:v>9935</c:v>
                </c:pt>
                <c:pt idx="25">
                  <c:v>9936</c:v>
                </c:pt>
                <c:pt idx="26">
                  <c:v>9937</c:v>
                </c:pt>
                <c:pt idx="27">
                  <c:v>9938</c:v>
                </c:pt>
                <c:pt idx="28">
                  <c:v>9939</c:v>
                </c:pt>
                <c:pt idx="29">
                  <c:v>9940</c:v>
                </c:pt>
                <c:pt idx="30">
                  <c:v>9941</c:v>
                </c:pt>
                <c:pt idx="31">
                  <c:v>9942</c:v>
                </c:pt>
                <c:pt idx="32">
                  <c:v>9943</c:v>
                </c:pt>
                <c:pt idx="33">
                  <c:v>9944</c:v>
                </c:pt>
                <c:pt idx="34">
                  <c:v>9945</c:v>
                </c:pt>
                <c:pt idx="35">
                  <c:v>9946</c:v>
                </c:pt>
                <c:pt idx="36">
                  <c:v>9947</c:v>
                </c:pt>
                <c:pt idx="37">
                  <c:v>9948</c:v>
                </c:pt>
                <c:pt idx="38">
                  <c:v>9949</c:v>
                </c:pt>
                <c:pt idx="39">
                  <c:v>9950</c:v>
                </c:pt>
                <c:pt idx="40">
                  <c:v>9951</c:v>
                </c:pt>
                <c:pt idx="41">
                  <c:v>9952</c:v>
                </c:pt>
                <c:pt idx="42">
                  <c:v>9953</c:v>
                </c:pt>
                <c:pt idx="43">
                  <c:v>9954</c:v>
                </c:pt>
                <c:pt idx="44">
                  <c:v>9955</c:v>
                </c:pt>
                <c:pt idx="45">
                  <c:v>9956</c:v>
                </c:pt>
                <c:pt idx="46">
                  <c:v>9957</c:v>
                </c:pt>
                <c:pt idx="47">
                  <c:v>9958</c:v>
                </c:pt>
                <c:pt idx="48">
                  <c:v>9959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79-4818-AA36-BB525E28B2FC}"/>
            </c:ext>
          </c:extLst>
        </c:ser>
        <c:ser>
          <c:idx val="3"/>
          <c:order val="3"/>
          <c:tx>
            <c:strRef>
              <c:f>'Sand_shale Sandwitch'!$Y$6</c:f>
              <c:strCache>
                <c:ptCount val="1"/>
                <c:pt idx="0">
                  <c:v>v=0.27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'Sand_shale Sandwitch'!$AC$8:$AC$58</c:f>
              <c:numCache>
                <c:formatCode>General</c:formatCode>
                <c:ptCount val="51"/>
                <c:pt idx="0">
                  <c:v>6121.96</c:v>
                </c:pt>
                <c:pt idx="1">
                  <c:v>6122.57</c:v>
                </c:pt>
                <c:pt idx="2">
                  <c:v>6123.18</c:v>
                </c:pt>
                <c:pt idx="3">
                  <c:v>6123.79</c:v>
                </c:pt>
                <c:pt idx="4">
                  <c:v>6124.4</c:v>
                </c:pt>
                <c:pt idx="5">
                  <c:v>6125.01</c:v>
                </c:pt>
                <c:pt idx="6">
                  <c:v>6125.62</c:v>
                </c:pt>
                <c:pt idx="7">
                  <c:v>6126.23</c:v>
                </c:pt>
                <c:pt idx="8">
                  <c:v>6126.84</c:v>
                </c:pt>
                <c:pt idx="9">
                  <c:v>6127.45</c:v>
                </c:pt>
                <c:pt idx="10">
                  <c:v>6128.0599999999995</c:v>
                </c:pt>
                <c:pt idx="11">
                  <c:v>6128.67</c:v>
                </c:pt>
                <c:pt idx="12">
                  <c:v>6129.28</c:v>
                </c:pt>
                <c:pt idx="13">
                  <c:v>6129.8899999999994</c:v>
                </c:pt>
                <c:pt idx="14">
                  <c:v>6130.5</c:v>
                </c:pt>
                <c:pt idx="15">
                  <c:v>6131.11</c:v>
                </c:pt>
                <c:pt idx="16">
                  <c:v>6131.72</c:v>
                </c:pt>
                <c:pt idx="17">
                  <c:v>6132.33</c:v>
                </c:pt>
                <c:pt idx="18">
                  <c:v>6132.94</c:v>
                </c:pt>
                <c:pt idx="19">
                  <c:v>6133.55</c:v>
                </c:pt>
                <c:pt idx="20">
                  <c:v>6134.16</c:v>
                </c:pt>
                <c:pt idx="21">
                  <c:v>6134.7699999999995</c:v>
                </c:pt>
                <c:pt idx="22">
                  <c:v>6135.38</c:v>
                </c:pt>
                <c:pt idx="23">
                  <c:v>6135.99</c:v>
                </c:pt>
                <c:pt idx="24">
                  <c:v>6136.5999999999995</c:v>
                </c:pt>
                <c:pt idx="25">
                  <c:v>6137.21</c:v>
                </c:pt>
                <c:pt idx="26">
                  <c:v>6137.82</c:v>
                </c:pt>
                <c:pt idx="27">
                  <c:v>6138.43</c:v>
                </c:pt>
                <c:pt idx="28">
                  <c:v>6139.04</c:v>
                </c:pt>
                <c:pt idx="29">
                  <c:v>6139.65</c:v>
                </c:pt>
                <c:pt idx="30">
                  <c:v>6140.26</c:v>
                </c:pt>
                <c:pt idx="31">
                  <c:v>6140.87</c:v>
                </c:pt>
                <c:pt idx="32">
                  <c:v>6141.48</c:v>
                </c:pt>
                <c:pt idx="33">
                  <c:v>6142.09</c:v>
                </c:pt>
                <c:pt idx="34">
                  <c:v>6142.7</c:v>
                </c:pt>
                <c:pt idx="35">
                  <c:v>6143.3099999999995</c:v>
                </c:pt>
                <c:pt idx="36">
                  <c:v>6143.92</c:v>
                </c:pt>
                <c:pt idx="37">
                  <c:v>6144.53</c:v>
                </c:pt>
                <c:pt idx="38">
                  <c:v>6145.1399999999994</c:v>
                </c:pt>
                <c:pt idx="39">
                  <c:v>6145.75</c:v>
                </c:pt>
                <c:pt idx="40">
                  <c:v>6146.36</c:v>
                </c:pt>
                <c:pt idx="41">
                  <c:v>6146.97</c:v>
                </c:pt>
                <c:pt idx="42">
                  <c:v>6147.58</c:v>
                </c:pt>
                <c:pt idx="43">
                  <c:v>6148.19</c:v>
                </c:pt>
                <c:pt idx="44">
                  <c:v>6148.8</c:v>
                </c:pt>
                <c:pt idx="45">
                  <c:v>6149.41</c:v>
                </c:pt>
                <c:pt idx="46">
                  <c:v>6150.0199999999995</c:v>
                </c:pt>
                <c:pt idx="47">
                  <c:v>6150.63</c:v>
                </c:pt>
                <c:pt idx="48">
                  <c:v>6151.24</c:v>
                </c:pt>
                <c:pt idx="49">
                  <c:v>6151.8499999999995</c:v>
                </c:pt>
                <c:pt idx="50">
                  <c:v>6152.46</c:v>
                </c:pt>
              </c:numCache>
            </c:numRef>
          </c:xVal>
          <c:yVal>
            <c:numRef>
              <c:f>'Sand_shale Sandwitch'!$Y$8:$Y$58</c:f>
              <c:numCache>
                <c:formatCode>General</c:formatCode>
                <c:ptCount val="51"/>
                <c:pt idx="0">
                  <c:v>10036</c:v>
                </c:pt>
                <c:pt idx="1">
                  <c:v>10037</c:v>
                </c:pt>
                <c:pt idx="2">
                  <c:v>10038</c:v>
                </c:pt>
                <c:pt idx="3">
                  <c:v>10039</c:v>
                </c:pt>
                <c:pt idx="4">
                  <c:v>10040</c:v>
                </c:pt>
                <c:pt idx="5">
                  <c:v>10041</c:v>
                </c:pt>
                <c:pt idx="6">
                  <c:v>10042</c:v>
                </c:pt>
                <c:pt idx="7">
                  <c:v>10043</c:v>
                </c:pt>
                <c:pt idx="8">
                  <c:v>10044</c:v>
                </c:pt>
                <c:pt idx="9">
                  <c:v>10045</c:v>
                </c:pt>
                <c:pt idx="10">
                  <c:v>10046</c:v>
                </c:pt>
                <c:pt idx="11">
                  <c:v>10047</c:v>
                </c:pt>
                <c:pt idx="12">
                  <c:v>10048</c:v>
                </c:pt>
                <c:pt idx="13">
                  <c:v>10049</c:v>
                </c:pt>
                <c:pt idx="14">
                  <c:v>10050</c:v>
                </c:pt>
                <c:pt idx="15">
                  <c:v>10051</c:v>
                </c:pt>
                <c:pt idx="16">
                  <c:v>10052</c:v>
                </c:pt>
                <c:pt idx="17">
                  <c:v>10053</c:v>
                </c:pt>
                <c:pt idx="18">
                  <c:v>10054</c:v>
                </c:pt>
                <c:pt idx="19">
                  <c:v>10055</c:v>
                </c:pt>
                <c:pt idx="20">
                  <c:v>10056</c:v>
                </c:pt>
                <c:pt idx="21">
                  <c:v>10057</c:v>
                </c:pt>
                <c:pt idx="22">
                  <c:v>10058</c:v>
                </c:pt>
                <c:pt idx="23">
                  <c:v>10059</c:v>
                </c:pt>
                <c:pt idx="24">
                  <c:v>10060</c:v>
                </c:pt>
                <c:pt idx="25">
                  <c:v>10061</c:v>
                </c:pt>
                <c:pt idx="26">
                  <c:v>10062</c:v>
                </c:pt>
                <c:pt idx="27">
                  <c:v>10063</c:v>
                </c:pt>
                <c:pt idx="28">
                  <c:v>10064</c:v>
                </c:pt>
                <c:pt idx="29">
                  <c:v>10065</c:v>
                </c:pt>
                <c:pt idx="30">
                  <c:v>10066</c:v>
                </c:pt>
                <c:pt idx="31">
                  <c:v>10067</c:v>
                </c:pt>
                <c:pt idx="32">
                  <c:v>10068</c:v>
                </c:pt>
                <c:pt idx="33">
                  <c:v>10069</c:v>
                </c:pt>
                <c:pt idx="34">
                  <c:v>10070</c:v>
                </c:pt>
                <c:pt idx="35">
                  <c:v>10071</c:v>
                </c:pt>
                <c:pt idx="36">
                  <c:v>10072</c:v>
                </c:pt>
                <c:pt idx="37">
                  <c:v>10073</c:v>
                </c:pt>
                <c:pt idx="38">
                  <c:v>10074</c:v>
                </c:pt>
                <c:pt idx="39">
                  <c:v>10075</c:v>
                </c:pt>
                <c:pt idx="40">
                  <c:v>10076</c:v>
                </c:pt>
                <c:pt idx="41">
                  <c:v>10077</c:v>
                </c:pt>
                <c:pt idx="42">
                  <c:v>10078</c:v>
                </c:pt>
                <c:pt idx="43">
                  <c:v>10079</c:v>
                </c:pt>
                <c:pt idx="44">
                  <c:v>10080</c:v>
                </c:pt>
                <c:pt idx="45">
                  <c:v>10081</c:v>
                </c:pt>
                <c:pt idx="46">
                  <c:v>10082</c:v>
                </c:pt>
                <c:pt idx="47">
                  <c:v>10083</c:v>
                </c:pt>
                <c:pt idx="48">
                  <c:v>10084</c:v>
                </c:pt>
                <c:pt idx="49">
                  <c:v>10085</c:v>
                </c:pt>
                <c:pt idx="50">
                  <c:v>10086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79-4818-AA36-BB525E28B2FC}"/>
            </c:ext>
          </c:extLst>
        </c:ser>
        <c:ser>
          <c:idx val="4"/>
          <c:order val="4"/>
          <c:tx>
            <c:strRef>
              <c:f>'Sand_shale Sandwitch'!$AP$6</c:f>
              <c:strCache>
                <c:ptCount val="1"/>
                <c:pt idx="0">
                  <c:v>v=0.3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'Sand_shale Sandwitch'!$AT$8:$AT$58</c:f>
              <c:numCache>
                <c:formatCode>General</c:formatCode>
                <c:ptCount val="51"/>
                <c:pt idx="0">
                  <c:v>6623.76</c:v>
                </c:pt>
                <c:pt idx="1">
                  <c:v>6624.42</c:v>
                </c:pt>
                <c:pt idx="2">
                  <c:v>6625.08</c:v>
                </c:pt>
                <c:pt idx="3">
                  <c:v>6625.7400000000007</c:v>
                </c:pt>
                <c:pt idx="4">
                  <c:v>6626.4000000000005</c:v>
                </c:pt>
                <c:pt idx="5">
                  <c:v>6627.06</c:v>
                </c:pt>
                <c:pt idx="6">
                  <c:v>6627.72</c:v>
                </c:pt>
                <c:pt idx="7">
                  <c:v>6628.38</c:v>
                </c:pt>
                <c:pt idx="8">
                  <c:v>6629.04</c:v>
                </c:pt>
                <c:pt idx="9">
                  <c:v>6629.7000000000007</c:v>
                </c:pt>
                <c:pt idx="10">
                  <c:v>6630.3600000000006</c:v>
                </c:pt>
                <c:pt idx="11">
                  <c:v>6631.02</c:v>
                </c:pt>
                <c:pt idx="12">
                  <c:v>6631.68</c:v>
                </c:pt>
                <c:pt idx="13">
                  <c:v>6632.34</c:v>
                </c:pt>
                <c:pt idx="14">
                  <c:v>6633</c:v>
                </c:pt>
                <c:pt idx="15">
                  <c:v>6633.6600000000008</c:v>
                </c:pt>
                <c:pt idx="16">
                  <c:v>6634.3200000000006</c:v>
                </c:pt>
                <c:pt idx="17">
                  <c:v>6634.9800000000005</c:v>
                </c:pt>
                <c:pt idx="18">
                  <c:v>6635.64</c:v>
                </c:pt>
                <c:pt idx="19">
                  <c:v>6636.3</c:v>
                </c:pt>
                <c:pt idx="20">
                  <c:v>6636.96</c:v>
                </c:pt>
                <c:pt idx="21">
                  <c:v>6637.62</c:v>
                </c:pt>
                <c:pt idx="22">
                  <c:v>6638.2800000000007</c:v>
                </c:pt>
                <c:pt idx="23">
                  <c:v>6638.9400000000005</c:v>
                </c:pt>
                <c:pt idx="24">
                  <c:v>6639.6</c:v>
                </c:pt>
                <c:pt idx="25">
                  <c:v>6640.26</c:v>
                </c:pt>
                <c:pt idx="26">
                  <c:v>6640.92</c:v>
                </c:pt>
                <c:pt idx="27">
                  <c:v>6641.58</c:v>
                </c:pt>
                <c:pt idx="28">
                  <c:v>6642.2400000000007</c:v>
                </c:pt>
                <c:pt idx="29">
                  <c:v>6642.9000000000005</c:v>
                </c:pt>
                <c:pt idx="30">
                  <c:v>6643.56</c:v>
                </c:pt>
                <c:pt idx="31">
                  <c:v>6644.22</c:v>
                </c:pt>
                <c:pt idx="32">
                  <c:v>6644.88</c:v>
                </c:pt>
                <c:pt idx="33">
                  <c:v>6645.54</c:v>
                </c:pt>
                <c:pt idx="34">
                  <c:v>6646.2000000000007</c:v>
                </c:pt>
                <c:pt idx="35">
                  <c:v>6646.8600000000006</c:v>
                </c:pt>
                <c:pt idx="36">
                  <c:v>6647.52</c:v>
                </c:pt>
                <c:pt idx="37">
                  <c:v>6648.18</c:v>
                </c:pt>
                <c:pt idx="38">
                  <c:v>6648.84</c:v>
                </c:pt>
                <c:pt idx="39">
                  <c:v>6649.5</c:v>
                </c:pt>
                <c:pt idx="40">
                  <c:v>6650.1600000000008</c:v>
                </c:pt>
                <c:pt idx="41">
                  <c:v>6650.8200000000006</c:v>
                </c:pt>
                <c:pt idx="42">
                  <c:v>6651.4800000000005</c:v>
                </c:pt>
                <c:pt idx="43">
                  <c:v>6652.14</c:v>
                </c:pt>
                <c:pt idx="44">
                  <c:v>6652.8</c:v>
                </c:pt>
                <c:pt idx="45">
                  <c:v>6653.46</c:v>
                </c:pt>
                <c:pt idx="46">
                  <c:v>6654.12</c:v>
                </c:pt>
                <c:pt idx="47">
                  <c:v>6654.7800000000007</c:v>
                </c:pt>
                <c:pt idx="48">
                  <c:v>6655.4400000000005</c:v>
                </c:pt>
                <c:pt idx="49">
                  <c:v>6656.1</c:v>
                </c:pt>
                <c:pt idx="50">
                  <c:v>6656.76</c:v>
                </c:pt>
              </c:numCache>
            </c:numRef>
          </c:xVal>
          <c:yVal>
            <c:numRef>
              <c:f>'Sand_shale Sandwitch'!$AP$8:$AP$58</c:f>
              <c:numCache>
                <c:formatCode>General</c:formatCode>
                <c:ptCount val="51"/>
                <c:pt idx="0">
                  <c:v>10036</c:v>
                </c:pt>
                <c:pt idx="1">
                  <c:v>10037</c:v>
                </c:pt>
                <c:pt idx="2">
                  <c:v>10038</c:v>
                </c:pt>
                <c:pt idx="3">
                  <c:v>10039</c:v>
                </c:pt>
                <c:pt idx="4">
                  <c:v>10040</c:v>
                </c:pt>
                <c:pt idx="5">
                  <c:v>10041</c:v>
                </c:pt>
                <c:pt idx="6">
                  <c:v>10042</c:v>
                </c:pt>
                <c:pt idx="7">
                  <c:v>10043</c:v>
                </c:pt>
                <c:pt idx="8">
                  <c:v>10044</c:v>
                </c:pt>
                <c:pt idx="9">
                  <c:v>10045</c:v>
                </c:pt>
                <c:pt idx="10">
                  <c:v>10046</c:v>
                </c:pt>
                <c:pt idx="11">
                  <c:v>10047</c:v>
                </c:pt>
                <c:pt idx="12">
                  <c:v>10048</c:v>
                </c:pt>
                <c:pt idx="13">
                  <c:v>10049</c:v>
                </c:pt>
                <c:pt idx="14">
                  <c:v>10050</c:v>
                </c:pt>
                <c:pt idx="15">
                  <c:v>10051</c:v>
                </c:pt>
                <c:pt idx="16">
                  <c:v>10052</c:v>
                </c:pt>
                <c:pt idx="17">
                  <c:v>10053</c:v>
                </c:pt>
                <c:pt idx="18">
                  <c:v>10054</c:v>
                </c:pt>
                <c:pt idx="19">
                  <c:v>10055</c:v>
                </c:pt>
                <c:pt idx="20">
                  <c:v>10056</c:v>
                </c:pt>
                <c:pt idx="21">
                  <c:v>10057</c:v>
                </c:pt>
                <c:pt idx="22">
                  <c:v>10058</c:v>
                </c:pt>
                <c:pt idx="23">
                  <c:v>10059</c:v>
                </c:pt>
                <c:pt idx="24">
                  <c:v>10060</c:v>
                </c:pt>
                <c:pt idx="25">
                  <c:v>10061</c:v>
                </c:pt>
                <c:pt idx="26">
                  <c:v>10062</c:v>
                </c:pt>
                <c:pt idx="27">
                  <c:v>10063</c:v>
                </c:pt>
                <c:pt idx="28">
                  <c:v>10064</c:v>
                </c:pt>
                <c:pt idx="29">
                  <c:v>10065</c:v>
                </c:pt>
                <c:pt idx="30">
                  <c:v>10066</c:v>
                </c:pt>
                <c:pt idx="31">
                  <c:v>10067</c:v>
                </c:pt>
                <c:pt idx="32">
                  <c:v>10068</c:v>
                </c:pt>
                <c:pt idx="33">
                  <c:v>10069</c:v>
                </c:pt>
                <c:pt idx="34">
                  <c:v>10070</c:v>
                </c:pt>
                <c:pt idx="35">
                  <c:v>10071</c:v>
                </c:pt>
                <c:pt idx="36">
                  <c:v>10072</c:v>
                </c:pt>
                <c:pt idx="37">
                  <c:v>10073</c:v>
                </c:pt>
                <c:pt idx="38">
                  <c:v>10074</c:v>
                </c:pt>
                <c:pt idx="39">
                  <c:v>10075</c:v>
                </c:pt>
                <c:pt idx="40">
                  <c:v>10076</c:v>
                </c:pt>
                <c:pt idx="41">
                  <c:v>10077</c:v>
                </c:pt>
                <c:pt idx="42">
                  <c:v>10078</c:v>
                </c:pt>
                <c:pt idx="43">
                  <c:v>10079</c:v>
                </c:pt>
                <c:pt idx="44">
                  <c:v>10080</c:v>
                </c:pt>
                <c:pt idx="45">
                  <c:v>10081</c:v>
                </c:pt>
                <c:pt idx="46">
                  <c:v>10082</c:v>
                </c:pt>
                <c:pt idx="47">
                  <c:v>10083</c:v>
                </c:pt>
                <c:pt idx="48">
                  <c:v>10084</c:v>
                </c:pt>
                <c:pt idx="49">
                  <c:v>10085</c:v>
                </c:pt>
                <c:pt idx="50">
                  <c:v>10086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79-4818-AA36-BB525E28B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901032"/>
        <c:axId val="413893832"/>
      </c:scatterChart>
      <c:valAx>
        <c:axId val="4139010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l-GR" sz="1800" b="1" i="0" u="none" strike="noStrike" cap="none" baseline="0">
                    <a:effectLst/>
                  </a:rPr>
                  <a:t>σ</a:t>
                </a:r>
                <a:r>
                  <a:rPr lang="en-US" sz="1800" b="1" i="0" u="none" strike="noStrike" cap="none" baseline="-25000">
                    <a:effectLst/>
                  </a:rPr>
                  <a:t>hmin</a:t>
                </a:r>
                <a:r>
                  <a:rPr lang="en-US" sz="1800" b="1" i="0" u="none" strike="noStrike" cap="none" baseline="0">
                    <a:effectLst/>
                  </a:rPr>
                  <a:t>(Psi) </a:t>
                </a:r>
                <a:endParaRPr lang="en-US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93832"/>
        <c:crosses val="autoZero"/>
        <c:crossBetween val="midCat"/>
      </c:valAx>
      <c:valAx>
        <c:axId val="413893832"/>
        <c:scaling>
          <c:orientation val="maxMin"/>
          <c:max val="10140"/>
          <c:min val="9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Depth(ft)</a:t>
                </a:r>
              </a:p>
            </c:rich>
          </c:tx>
          <c:layout>
            <c:manualLayout>
              <c:xMode val="edge"/>
              <c:yMode val="edge"/>
              <c:x val="1.2557706829951699E-2"/>
              <c:y val="0.46955315209749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901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Overpressure</a:t>
            </a:r>
            <a:r>
              <a:rPr lang="en-US" baseline="0"/>
              <a:t> vs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07089362520783"/>
          <c:y val="0.17171296296296296"/>
          <c:w val="0.63303032801528081"/>
          <c:h val="0.671338256630964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'pressure Distribution'!$K$14</c:f>
              <c:strCache>
                <c:ptCount val="1"/>
                <c:pt idx="0">
                  <c:v>σv</c:v>
                </c:pt>
              </c:strCache>
            </c:strRef>
          </c:tx>
          <c:spPr>
            <a:ln w="19050" cap="rnd" cmpd="sng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'pressure Distribution'!$J$15:$J$25</c:f>
              <c:numCache>
                <c:formatCode>General</c:formatCode>
                <c:ptCount val="1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</c:numCache>
            </c:numRef>
          </c:xVal>
          <c:yVal>
            <c:numRef>
              <c:f>'pressure Distribution'!$K$15:$K$25</c:f>
              <c:numCache>
                <c:formatCode>General</c:formatCode>
                <c:ptCount val="11"/>
                <c:pt idx="0">
                  <c:v>11500</c:v>
                </c:pt>
                <c:pt idx="1">
                  <c:v>11500</c:v>
                </c:pt>
                <c:pt idx="2">
                  <c:v>11500</c:v>
                </c:pt>
                <c:pt idx="3">
                  <c:v>11500</c:v>
                </c:pt>
                <c:pt idx="4">
                  <c:v>11500</c:v>
                </c:pt>
                <c:pt idx="5">
                  <c:v>11500</c:v>
                </c:pt>
                <c:pt idx="6">
                  <c:v>11500</c:v>
                </c:pt>
                <c:pt idx="7">
                  <c:v>11500</c:v>
                </c:pt>
                <c:pt idx="8">
                  <c:v>11500</c:v>
                </c:pt>
                <c:pt idx="9">
                  <c:v>11500</c:v>
                </c:pt>
                <c:pt idx="10">
                  <c:v>11500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5A-47D5-B248-AA10BB305551}"/>
            </c:ext>
          </c:extLst>
        </c:ser>
        <c:ser>
          <c:idx val="1"/>
          <c:order val="1"/>
          <c:tx>
            <c:strRef>
              <c:f>'pressure Distribution'!$N$14</c:f>
              <c:strCache>
                <c:ptCount val="1"/>
                <c:pt idx="0">
                  <c:v>σH, min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'pressure Distribution'!$J$15:$J$25</c:f>
              <c:numCache>
                <c:formatCode>General</c:formatCode>
                <c:ptCount val="1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</c:numCache>
            </c:numRef>
          </c:xVal>
          <c:yVal>
            <c:numRef>
              <c:f>'pressure Distribution'!$N$15:$N$25</c:f>
              <c:numCache>
                <c:formatCode>General</c:formatCode>
                <c:ptCount val="11"/>
                <c:pt idx="0">
                  <c:v>5699.9999999999991</c:v>
                </c:pt>
                <c:pt idx="1">
                  <c:v>5939.9999999999991</c:v>
                </c:pt>
                <c:pt idx="2">
                  <c:v>6179.9999999999991</c:v>
                </c:pt>
                <c:pt idx="3">
                  <c:v>6419.9999999999991</c:v>
                </c:pt>
                <c:pt idx="4">
                  <c:v>6659.9999999999991</c:v>
                </c:pt>
                <c:pt idx="5">
                  <c:v>6899.9999999999991</c:v>
                </c:pt>
                <c:pt idx="6">
                  <c:v>7139.9999999999991</c:v>
                </c:pt>
                <c:pt idx="7">
                  <c:v>7379.9999999999991</c:v>
                </c:pt>
                <c:pt idx="8">
                  <c:v>7619.9999999999991</c:v>
                </c:pt>
                <c:pt idx="9">
                  <c:v>7859.9999999999991</c:v>
                </c:pt>
                <c:pt idx="10">
                  <c:v>8099.9999999999991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5A-47D5-B248-AA10BB30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667615"/>
        <c:axId val="1186474671"/>
      </c:scatterChart>
      <c:valAx>
        <c:axId val="1238667615"/>
        <c:scaling>
          <c:orientation val="minMax"/>
          <c:max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Overpressure, </a:t>
                </a:r>
                <a:r>
                  <a:rPr lang="el-GR"/>
                  <a:t>Δ</a:t>
                </a:r>
                <a:r>
                  <a:rPr lang="en-US"/>
                  <a:t>p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474671"/>
        <c:crosses val="autoZero"/>
        <c:crossBetween val="midCat"/>
      </c:valAx>
      <c:valAx>
        <c:axId val="11864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(psi)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6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72901749377746"/>
          <c:y val="0.48508161903958658"/>
          <c:w val="0.16898499975953882"/>
          <c:h val="0.25999340607101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chart" Target="../charts/chart3.xml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589221</xdr:colOff>
      <xdr:row>11</xdr:row>
      <xdr:rowOff>157539</xdr:rowOff>
    </xdr:from>
    <xdr:to>
      <xdr:col>25</xdr:col>
      <xdr:colOff>39077</xdr:colOff>
      <xdr:row>35</xdr:row>
      <xdr:rowOff>35442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9BC86-3ACC-D054-EA8E-7E745FBE9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85048</xdr:colOff>
      <xdr:row>4</xdr:row>
      <xdr:rowOff>17261</xdr:rowOff>
    </xdr:from>
    <xdr:to>
      <xdr:col>25</xdr:col>
      <xdr:colOff>506329</xdr:colOff>
      <xdr:row>6</xdr:row>
      <xdr:rowOff>111796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57931-AE9C-4E01-97C9-62838F93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20048" y="761540"/>
          <a:ext cx="2255397" cy="466675"/>
        </a:xfrm>
        <a:prstGeom prst="rect">
          <a:avLst/>
        </a:prstGeom>
        <a:ln>
          <a:solidFill>
            <a:schemeClr val="accent2"/>
          </a:solidFill>
        </a:ln>
      </xdr:spPr>
    </xdr:pic>
    <xdr:clientData/>
  </xdr:twoCellAnchor>
  <xdr:twoCellAnchor editAs="oneCell">
    <xdr:from>
      <xdr:col>22</xdr:col>
      <xdr:colOff>361043</xdr:colOff>
      <xdr:row>0</xdr:row>
      <xdr:rowOff>57978</xdr:rowOff>
    </xdr:from>
    <xdr:to>
      <xdr:col>25</xdr:col>
      <xdr:colOff>553693</xdr:colOff>
      <xdr:row>2</xdr:row>
      <xdr:rowOff>166722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489DA6-5080-401A-98B8-E5A99CCBE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6043" y="57978"/>
          <a:ext cx="2026766" cy="4808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447195</xdr:colOff>
      <xdr:row>4</xdr:row>
      <xdr:rowOff>147849</xdr:rowOff>
    </xdr:from>
    <xdr:to>
      <xdr:col>18</xdr:col>
      <xdr:colOff>303574</xdr:colOff>
      <xdr:row>6</xdr:row>
      <xdr:rowOff>162984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F25D41-FD60-443B-9CA2-2BE71433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195" y="879369"/>
          <a:ext cx="1685179" cy="3808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17</xdr:col>
      <xdr:colOff>539424</xdr:colOff>
      <xdr:row>0</xdr:row>
      <xdr:rowOff>151883</xdr:rowOff>
    </xdr:from>
    <xdr:to>
      <xdr:col>20</xdr:col>
      <xdr:colOff>491067</xdr:colOff>
      <xdr:row>4</xdr:row>
      <xdr:rowOff>12330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DAC389-F020-49C4-A179-7544CB90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7564" y="151883"/>
          <a:ext cx="1785759" cy="6047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94138</xdr:colOff>
      <xdr:row>4</xdr:row>
      <xdr:rowOff>68090</xdr:rowOff>
    </xdr:from>
    <xdr:to>
      <xdr:col>15</xdr:col>
      <xdr:colOff>71426</xdr:colOff>
      <xdr:row>6</xdr:row>
      <xdr:rowOff>130856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3AEA547-2B90-49AF-9A16-7CF5579D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6789" y="812369"/>
          <a:ext cx="1200032" cy="43490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51322</xdr:colOff>
      <xdr:row>0</xdr:row>
      <xdr:rowOff>111642</xdr:rowOff>
    </xdr:from>
    <xdr:to>
      <xdr:col>16</xdr:col>
      <xdr:colOff>269617</xdr:colOff>
      <xdr:row>3</xdr:row>
      <xdr:rowOff>139106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5CF80C-BB43-490A-BE7A-2984FDD1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5345" y="111642"/>
          <a:ext cx="1441039" cy="5856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550915</xdr:colOff>
      <xdr:row>7</xdr:row>
      <xdr:rowOff>67428</xdr:rowOff>
    </xdr:from>
    <xdr:to>
      <xdr:col>12</xdr:col>
      <xdr:colOff>566309</xdr:colOff>
      <xdr:row>9</xdr:row>
      <xdr:rowOff>68560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AE8F8A-372B-4B7E-AC4F-18FDF4A2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9450" y="1369916"/>
          <a:ext cx="1238138" cy="3909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119083</xdr:colOff>
      <xdr:row>0</xdr:row>
      <xdr:rowOff>51375</xdr:rowOff>
    </xdr:from>
    <xdr:to>
      <xdr:col>9</xdr:col>
      <xdr:colOff>299274</xdr:colOff>
      <xdr:row>5</xdr:row>
      <xdr:rowOff>46342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5BD739-DC03-4848-94B7-A5777DFBA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3502" y="51375"/>
          <a:ext cx="1402935" cy="92531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268968</xdr:colOff>
      <xdr:row>7</xdr:row>
      <xdr:rowOff>108586</xdr:rowOff>
    </xdr:from>
    <xdr:to>
      <xdr:col>9</xdr:col>
      <xdr:colOff>179573</xdr:colOff>
      <xdr:row>9</xdr:row>
      <xdr:rowOff>62087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C32949B-47D9-4B17-9839-CA8FBA0C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3387" y="1411074"/>
          <a:ext cx="1133349" cy="3433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535271</xdr:colOff>
      <xdr:row>1</xdr:row>
      <xdr:rowOff>115039</xdr:rowOff>
    </xdr:from>
    <xdr:to>
      <xdr:col>13</xdr:col>
      <xdr:colOff>47016</xdr:colOff>
      <xdr:row>5</xdr:row>
      <xdr:rowOff>145307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547257-9EA9-4E2A-B1A2-CE5E1E72E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2434" y="301109"/>
          <a:ext cx="1957233" cy="7745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129278</xdr:colOff>
      <xdr:row>11</xdr:row>
      <xdr:rowOff>96655</xdr:rowOff>
    </xdr:from>
    <xdr:to>
      <xdr:col>24</xdr:col>
      <xdr:colOff>527292</xdr:colOff>
      <xdr:row>44</xdr:row>
      <xdr:rowOff>66269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69F59-3F3D-E9EA-116B-8384198E6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0.2257</cdr:x>
      <cdr:y>0.14234</cdr:y>
    </cdr:from>
    <cdr:to>
      <cdr:x>0.74012</cdr:x>
      <cdr:y>0.14477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897F2AC-6DE1-6D90-91B0-79755965928A}"/>
            </a:ext>
          </a:extLst>
        </cdr:cNvPr>
        <cdr:cNvCxnSpPr/>
      </cdr:nvCxnSpPr>
      <cdr:spPr>
        <a:xfrm xmlns:a="http://schemas.openxmlformats.org/drawingml/2006/main" flipV="1">
          <a:off x="1593852" y="858140"/>
          <a:ext cx="3632691" cy="1467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0.23922</cdr:x>
      <cdr:y>0.30984</cdr:y>
    </cdr:from>
    <cdr:to>
      <cdr:x>0.75832</cdr:x>
      <cdr:y>0.31159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DE6017E-A9C5-A212-8159-AA1BB26D95D8}"/>
            </a:ext>
          </a:extLst>
        </cdr:cNvPr>
        <cdr:cNvCxnSpPr/>
      </cdr:nvCxnSpPr>
      <cdr:spPr>
        <a:xfrm xmlns:a="http://schemas.openxmlformats.org/drawingml/2006/main" flipV="1">
          <a:off x="1689343" y="1868020"/>
          <a:ext cx="3665730" cy="1050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0.26652</cdr:x>
      <cdr:y>0.5809</cdr:y>
    </cdr:from>
    <cdr:to>
      <cdr:x>0.78952</cdr:x>
      <cdr:y>0.58111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CAFE56AB-3A13-ADB5-4A1D-8E8C5400840A}"/>
            </a:ext>
          </a:extLst>
        </cdr:cNvPr>
        <cdr:cNvCxnSpPr/>
      </cdr:nvCxnSpPr>
      <cdr:spPr>
        <a:xfrm xmlns:a="http://schemas.openxmlformats.org/drawingml/2006/main" flipV="1">
          <a:off x="1882066" y="3502188"/>
          <a:ext cx="3693344" cy="126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0.28551</cdr:x>
      <cdr:y>0.75298</cdr:y>
    </cdr:from>
    <cdr:to>
      <cdr:x>0.80902</cdr:x>
      <cdr:y>0.75446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CAFE56AB-3A13-ADB5-4A1D-8E8C5400840A}"/>
            </a:ext>
          </a:extLst>
        </cdr:cNvPr>
        <cdr:cNvCxnSpPr/>
      </cdr:nvCxnSpPr>
      <cdr:spPr>
        <a:xfrm xmlns:a="http://schemas.openxmlformats.org/drawingml/2006/main" flipV="1">
          <a:off x="2016236" y="4539610"/>
          <a:ext cx="3696885" cy="896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0.41144</cdr:x>
      <cdr:y>0.1898</cdr:y>
    </cdr:from>
    <cdr:to>
      <cdr:x>0.52805</cdr:x>
      <cdr:y>0.2443</cdr:y>
    </cdr:to>
    <cdr:sp macro="" textlink="">
      <cdr:nvSpPr>
        <cdr:cNvPr id="10" name="TextBox 49">
          <a:extLst xmlns:a="http://schemas.openxmlformats.org/drawingml/2006/main">
            <a:ext uri="{FF2B5EF4-FFF2-40B4-BE49-F238E27FC236}">
              <a16:creationId xmlns:a16="http://schemas.microsoft.com/office/drawing/2014/main" id="{68B314A1-0B5B-4098-A151-D5DB684713A4}"/>
            </a:ext>
          </a:extLst>
        </cdr:cNvPr>
        <cdr:cNvSpPr txBox="1"/>
      </cdr:nvSpPr>
      <cdr:spPr>
        <a:xfrm xmlns:a="http://schemas.openxmlformats.org/drawingml/2006/main">
          <a:off x="2908040" y="1164089"/>
          <a:ext cx="824203" cy="33424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2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/>
            <a:t>ν</a:t>
          </a:r>
          <a:r>
            <a:rPr lang="en-US" sz="1100"/>
            <a:t> = 0.27</a:t>
          </a:r>
        </a:p>
      </cdr:txBody>
    </cdr:sp>
  </cdr:relSizeAnchor>
  <cdr:relSizeAnchor xmlns:cdr="http://schemas.openxmlformats.org/drawingml/2006/chartDrawing">
    <cdr:from>
      <cdr:x>0.45493</cdr:x>
      <cdr:y>0.62443</cdr:y>
    </cdr:from>
    <cdr:to>
      <cdr:x>0.55776</cdr:x>
      <cdr:y>0.68094</cdr:y>
    </cdr:to>
    <cdr:sp macro="" textlink="">
      <cdr:nvSpPr>
        <cdr:cNvPr id="21" name="TextBox 49">
          <a:extLst xmlns:a="http://schemas.openxmlformats.org/drawingml/2006/main">
            <a:ext uri="{FF2B5EF4-FFF2-40B4-BE49-F238E27FC236}">
              <a16:creationId xmlns:a16="http://schemas.microsoft.com/office/drawing/2014/main" id="{68B314A1-0B5B-4098-A151-D5DB684713A4}"/>
            </a:ext>
          </a:extLst>
        </cdr:cNvPr>
        <cdr:cNvSpPr txBox="1"/>
      </cdr:nvSpPr>
      <cdr:spPr>
        <a:xfrm xmlns:a="http://schemas.openxmlformats.org/drawingml/2006/main">
          <a:off x="3215433" y="3829698"/>
          <a:ext cx="726749" cy="3465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2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/>
            <a:t>ν</a:t>
          </a:r>
          <a:r>
            <a:rPr lang="en-US" sz="1100"/>
            <a:t> = 0.27</a:t>
          </a:r>
        </a:p>
      </cdr:txBody>
    </cdr:sp>
  </cdr:relSizeAnchor>
  <cdr:relSizeAnchor xmlns:cdr="http://schemas.openxmlformats.org/drawingml/2006/chartDrawing">
    <cdr:from>
      <cdr:x>0.69586</cdr:x>
      <cdr:y>0.17183</cdr:y>
    </cdr:from>
    <cdr:to>
      <cdr:x>0.79868</cdr:x>
      <cdr:y>0.22833</cdr:y>
    </cdr:to>
    <cdr:sp macro="" textlink="">
      <cdr:nvSpPr>
        <cdr:cNvPr id="22" name="TextBox 49">
          <a:extLst xmlns:a="http://schemas.openxmlformats.org/drawingml/2006/main">
            <a:ext uri="{FF2B5EF4-FFF2-40B4-BE49-F238E27FC236}">
              <a16:creationId xmlns:a16="http://schemas.microsoft.com/office/drawing/2014/main" id="{68B314A1-0B5B-4098-A151-D5DB684713A4}"/>
            </a:ext>
          </a:extLst>
        </cdr:cNvPr>
        <cdr:cNvSpPr txBox="1"/>
      </cdr:nvSpPr>
      <cdr:spPr>
        <a:xfrm xmlns:a="http://schemas.openxmlformats.org/drawingml/2006/main">
          <a:off x="4918269" y="1053840"/>
          <a:ext cx="726749" cy="3465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2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/>
            <a:t>ν</a:t>
          </a:r>
          <a:r>
            <a:rPr lang="en-US" sz="1100"/>
            <a:t> = 0.30</a:t>
          </a:r>
        </a:p>
      </cdr:txBody>
    </cdr:sp>
  </cdr:relSizeAnchor>
  <cdr:relSizeAnchor xmlns:cdr="http://schemas.openxmlformats.org/drawingml/2006/chartDrawing">
    <cdr:from>
      <cdr:x>0.73986</cdr:x>
      <cdr:y>0.60795</cdr:y>
    </cdr:from>
    <cdr:to>
      <cdr:x>0.84268</cdr:x>
      <cdr:y>0.66446</cdr:y>
    </cdr:to>
    <cdr:sp macro="" textlink="">
      <cdr:nvSpPr>
        <cdr:cNvPr id="23" name="TextBox 49">
          <a:extLst xmlns:a="http://schemas.openxmlformats.org/drawingml/2006/main">
            <a:ext uri="{FF2B5EF4-FFF2-40B4-BE49-F238E27FC236}">
              <a16:creationId xmlns:a16="http://schemas.microsoft.com/office/drawing/2014/main" id="{68B314A1-0B5B-4098-A151-D5DB684713A4}"/>
            </a:ext>
          </a:extLst>
        </cdr:cNvPr>
        <cdr:cNvSpPr txBox="1"/>
      </cdr:nvSpPr>
      <cdr:spPr>
        <a:xfrm xmlns:a="http://schemas.openxmlformats.org/drawingml/2006/main">
          <a:off x="5229289" y="3728616"/>
          <a:ext cx="726749" cy="3465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2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/>
            <a:t>ν</a:t>
          </a:r>
          <a:r>
            <a:rPr lang="en-US" sz="1100"/>
            <a:t> = 0.30</a:t>
          </a:r>
        </a:p>
      </cdr:txBody>
    </cdr:sp>
  </cdr:relSizeAnchor>
  <cdr:relSizeAnchor xmlns:cdr="http://schemas.openxmlformats.org/drawingml/2006/chartDrawing">
    <cdr:from>
      <cdr:x>0.1502</cdr:x>
      <cdr:y>0.44948</cdr:y>
    </cdr:from>
    <cdr:to>
      <cdr:x>0.25302</cdr:x>
      <cdr:y>0.50598</cdr:y>
    </cdr:to>
    <cdr:sp macro="" textlink="">
      <cdr:nvSpPr>
        <cdr:cNvPr id="24" name="TextBox 49">
          <a:extLst xmlns:a="http://schemas.openxmlformats.org/drawingml/2006/main">
            <a:ext uri="{FF2B5EF4-FFF2-40B4-BE49-F238E27FC236}">
              <a16:creationId xmlns:a16="http://schemas.microsoft.com/office/drawing/2014/main" id="{68B314A1-0B5B-4098-A151-D5DB684713A4}"/>
            </a:ext>
          </a:extLst>
        </cdr:cNvPr>
        <cdr:cNvSpPr txBox="1"/>
      </cdr:nvSpPr>
      <cdr:spPr>
        <a:xfrm xmlns:a="http://schemas.openxmlformats.org/drawingml/2006/main">
          <a:off x="1061616" y="2756677"/>
          <a:ext cx="726749" cy="3465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2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/>
            <a:t>ν</a:t>
          </a:r>
          <a:r>
            <a:rPr lang="en-US" sz="1100"/>
            <a:t> = 0.25</a:t>
          </a:r>
        </a:p>
      </cdr:txBody>
    </cdr:sp>
  </cdr:relSizeAnchor>
  <cdr:relSizeAnchor xmlns:cdr="http://schemas.openxmlformats.org/drawingml/2006/chartDrawing">
    <cdr:from>
      <cdr:x>0.54858</cdr:x>
      <cdr:y>0.42064</cdr:y>
    </cdr:from>
    <cdr:to>
      <cdr:x>0.80377</cdr:x>
      <cdr:y>0.52101</cdr:y>
    </cdr:to>
    <cdr:sp macro="" textlink="">
      <cdr:nvSpPr>
        <cdr:cNvPr id="31" name="TextBox 30">
          <a:extLst xmlns:a="http://schemas.openxmlformats.org/drawingml/2006/main">
            <a:ext uri="{FF2B5EF4-FFF2-40B4-BE49-F238E27FC236}">
              <a16:creationId xmlns:a16="http://schemas.microsoft.com/office/drawing/2014/main" id="{5A0139E3-28A7-76A4-6839-BC4F54A34516}"/>
            </a:ext>
          </a:extLst>
        </cdr:cNvPr>
        <cdr:cNvSpPr txBox="1"/>
      </cdr:nvSpPr>
      <cdr:spPr>
        <a:xfrm xmlns:a="http://schemas.openxmlformats.org/drawingml/2006/main">
          <a:off x="3906232" y="2544115"/>
          <a:ext cx="1817077" cy="607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0.4125</cdr:x>
      <cdr:y>0.42101</cdr:y>
    </cdr:from>
    <cdr:to>
      <cdr:x>0.56721</cdr:x>
      <cdr:y>0.49562</cdr:y>
    </cdr:to>
    <cdr:sp macro="" textlink="">
      <cdr:nvSpPr>
        <cdr:cNvPr id="32" name="TextBox 31">
          <a:extLst xmlns:a="http://schemas.openxmlformats.org/drawingml/2006/main">
            <a:ext uri="{FF2B5EF4-FFF2-40B4-BE49-F238E27FC236}">
              <a16:creationId xmlns:a16="http://schemas.microsoft.com/office/drawing/2014/main" id="{4ED8DF77-E182-C7F7-8532-0084BBDB0471}"/>
            </a:ext>
          </a:extLst>
        </cdr:cNvPr>
        <cdr:cNvSpPr txBox="1"/>
      </cdr:nvSpPr>
      <cdr:spPr>
        <a:xfrm xmlns:a="http://schemas.openxmlformats.org/drawingml/2006/main">
          <a:off x="2913001" y="2538212"/>
          <a:ext cx="1092506" cy="4498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800" b="1" kern="1200"/>
            <a:t>Sandstone</a:t>
          </a:r>
          <a:endParaRPr lang="en-US" sz="1100" b="1" kern="1200"/>
        </a:p>
      </cdr:txBody>
    </cdr:sp>
  </cdr:relSizeAnchor>
  <cdr:relSizeAnchor xmlns:cdr="http://schemas.openxmlformats.org/drawingml/2006/chartDrawing">
    <cdr:from>
      <cdr:x>0.57563</cdr:x>
      <cdr:y>0.19497</cdr:y>
    </cdr:from>
    <cdr:to>
      <cdr:x>0.67618</cdr:x>
      <cdr:y>0.25312</cdr:y>
    </cdr:to>
    <cdr:sp macro="" textlink="">
      <cdr:nvSpPr>
        <cdr:cNvPr id="33" name="TextBox 32">
          <a:extLst xmlns:a="http://schemas.openxmlformats.org/drawingml/2006/main">
            <a:ext uri="{FF2B5EF4-FFF2-40B4-BE49-F238E27FC236}">
              <a16:creationId xmlns:a16="http://schemas.microsoft.com/office/drawing/2014/main" id="{5B0D7DEF-D549-8F6C-92ED-CD9A833BB5E3}"/>
            </a:ext>
          </a:extLst>
        </cdr:cNvPr>
        <cdr:cNvSpPr txBox="1"/>
      </cdr:nvSpPr>
      <cdr:spPr>
        <a:xfrm xmlns:a="http://schemas.openxmlformats.org/drawingml/2006/main">
          <a:off x="4098826" y="1179214"/>
          <a:ext cx="715945" cy="3516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0.56034</cdr:x>
      <cdr:y>0.18666</cdr:y>
    </cdr:from>
    <cdr:to>
      <cdr:x>0.68876</cdr:x>
      <cdr:y>0.33549</cdr:y>
    </cdr:to>
    <cdr:sp macro="" textlink="">
      <cdr:nvSpPr>
        <cdr:cNvPr id="34" name="TextBox 33">
          <a:extLst xmlns:a="http://schemas.openxmlformats.org/drawingml/2006/main">
            <a:ext uri="{FF2B5EF4-FFF2-40B4-BE49-F238E27FC236}">
              <a16:creationId xmlns:a16="http://schemas.microsoft.com/office/drawing/2014/main" id="{B72EFD3E-D0AB-8E59-2934-96F7FBF19500}"/>
            </a:ext>
          </a:extLst>
        </cdr:cNvPr>
        <cdr:cNvSpPr txBox="1"/>
      </cdr:nvSpPr>
      <cdr:spPr>
        <a:xfrm xmlns:a="http://schemas.openxmlformats.org/drawingml/2006/main">
          <a:off x="3989969" y="1128972"/>
          <a:ext cx="914400" cy="9001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0.30104</cdr:x>
      <cdr:y>0.19981</cdr:y>
    </cdr:from>
    <cdr:to>
      <cdr:x>0.36866</cdr:x>
      <cdr:y>0.24204</cdr:y>
    </cdr:to>
    <cdr:sp macro="" textlink="">
      <cdr:nvSpPr>
        <cdr:cNvPr id="35" name="TextBox 34">
          <a:extLst xmlns:a="http://schemas.openxmlformats.org/drawingml/2006/main">
            <a:ext uri="{FF2B5EF4-FFF2-40B4-BE49-F238E27FC236}">
              <a16:creationId xmlns:a16="http://schemas.microsoft.com/office/drawing/2014/main" id="{48C54082-75A7-7450-8D99-013ECB7D9069}"/>
            </a:ext>
          </a:extLst>
        </cdr:cNvPr>
        <cdr:cNvSpPr txBox="1"/>
      </cdr:nvSpPr>
      <cdr:spPr>
        <a:xfrm xmlns:a="http://schemas.openxmlformats.org/drawingml/2006/main">
          <a:off x="2143584" y="1208522"/>
          <a:ext cx="481483" cy="255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 kern="1200"/>
            <a:t>Shale</a:t>
          </a:r>
        </a:p>
      </cdr:txBody>
    </cdr:sp>
  </cdr:relSizeAnchor>
  <cdr:relSizeAnchor xmlns:cdr="http://schemas.openxmlformats.org/drawingml/2006/chartDrawing">
    <cdr:from>
      <cdr:x>0.36043</cdr:x>
      <cdr:y>0.67745</cdr:y>
    </cdr:from>
    <cdr:to>
      <cdr:x>0.48884</cdr:x>
      <cdr:y>0.83459</cdr:y>
    </cdr:to>
    <cdr:sp macro="" textlink="">
      <cdr:nvSpPr>
        <cdr:cNvPr id="36" name="TextBox 35">
          <a:extLst xmlns:a="http://schemas.openxmlformats.org/drawingml/2006/main">
            <a:ext uri="{FF2B5EF4-FFF2-40B4-BE49-F238E27FC236}">
              <a16:creationId xmlns:a16="http://schemas.microsoft.com/office/drawing/2014/main" id="{8D999215-153C-7027-5472-9A343F435897}"/>
            </a:ext>
          </a:extLst>
        </cdr:cNvPr>
        <cdr:cNvSpPr txBox="1"/>
      </cdr:nvSpPr>
      <cdr:spPr>
        <a:xfrm xmlns:a="http://schemas.openxmlformats.org/drawingml/2006/main">
          <a:off x="2566452" y="4097421"/>
          <a:ext cx="914400" cy="950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0.33044</cdr:x>
      <cdr:y>0.62623</cdr:y>
    </cdr:from>
    <cdr:to>
      <cdr:x>0.401</cdr:x>
      <cdr:y>0.66846</cdr:y>
    </cdr:to>
    <cdr:sp macro="" textlink="">
      <cdr:nvSpPr>
        <cdr:cNvPr id="37" name="TextBox 36">
          <a:extLst xmlns:a="http://schemas.openxmlformats.org/drawingml/2006/main">
            <a:ext uri="{FF2B5EF4-FFF2-40B4-BE49-F238E27FC236}">
              <a16:creationId xmlns:a16="http://schemas.microsoft.com/office/drawing/2014/main" id="{8BA22445-084F-6AF5-9728-F6B1CB9A3D83}"/>
            </a:ext>
          </a:extLst>
        </cdr:cNvPr>
        <cdr:cNvSpPr txBox="1"/>
      </cdr:nvSpPr>
      <cdr:spPr>
        <a:xfrm xmlns:a="http://schemas.openxmlformats.org/drawingml/2006/main">
          <a:off x="2352926" y="3787599"/>
          <a:ext cx="502418" cy="2553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1" kern="1200"/>
            <a:t>Shale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75737</xdr:colOff>
      <xdr:row>7</xdr:row>
      <xdr:rowOff>36370</xdr:rowOff>
    </xdr:from>
    <xdr:to>
      <xdr:col>20</xdr:col>
      <xdr:colOff>58892</xdr:colOff>
      <xdr:row>9</xdr:row>
      <xdr:rowOff>136118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66A97-6A99-4F68-9F82-BDF91289B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337" y="1316530"/>
          <a:ext cx="2421555" cy="4655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512448</xdr:colOff>
      <xdr:row>3</xdr:row>
      <xdr:rowOff>0</xdr:rowOff>
    </xdr:from>
    <xdr:to>
      <xdr:col>20</xdr:col>
      <xdr:colOff>60326</xdr:colOff>
      <xdr:row>5</xdr:row>
      <xdr:rowOff>153187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1A3CD8-5A2C-4DF8-ACEC-E46466BD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6448" y="548640"/>
          <a:ext cx="2595878" cy="5189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247194</xdr:colOff>
      <xdr:row>7</xdr:row>
      <xdr:rowOff>116173</xdr:rowOff>
    </xdr:from>
    <xdr:to>
      <xdr:col>15</xdr:col>
      <xdr:colOff>135086</xdr:colOff>
      <xdr:row>11</xdr:row>
      <xdr:rowOff>65547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9BB36-F564-42EF-89BE-1B6C91A8B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2794" y="1396333"/>
          <a:ext cx="2326292" cy="68089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374334</xdr:colOff>
      <xdr:row>3</xdr:row>
      <xdr:rowOff>86640</xdr:rowOff>
    </xdr:from>
    <xdr:to>
      <xdr:col>14</xdr:col>
      <xdr:colOff>287872</xdr:colOff>
      <xdr:row>6</xdr:row>
      <xdr:rowOff>147368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91AFC8-BF18-4460-BFE2-AADA0F93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9934" y="635280"/>
          <a:ext cx="1742338" cy="6093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25260</xdr:colOff>
      <xdr:row>6</xdr:row>
      <xdr:rowOff>54473</xdr:rowOff>
    </xdr:from>
    <xdr:to>
      <xdr:col>10</xdr:col>
      <xdr:colOff>138850</xdr:colOff>
      <xdr:row>8</xdr:row>
      <xdr:rowOff>116116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5A5D2A-BEF3-4A3A-9F5C-2C2D1E19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460" y="1151753"/>
          <a:ext cx="1942390" cy="4274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0</xdr:colOff>
      <xdr:row>3</xdr:row>
      <xdr:rowOff>137958</xdr:rowOff>
    </xdr:from>
    <xdr:to>
      <xdr:col>10</xdr:col>
      <xdr:colOff>46906</xdr:colOff>
      <xdr:row>5</xdr:row>
      <xdr:rowOff>172145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B029AF-1153-4DD6-9472-CC67F97C6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686598"/>
          <a:ext cx="1875706" cy="3999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274320</xdr:colOff>
      <xdr:row>10</xdr:row>
      <xdr:rowOff>175260</xdr:rowOff>
    </xdr:from>
    <xdr:to>
      <xdr:col>22</xdr:col>
      <xdr:colOff>393320</xdr:colOff>
      <xdr:row>28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FD4850-DE77-4352-8459-D00EFF788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0.46195</cdr:x>
      <cdr:y>0.23009</cdr:y>
    </cdr:from>
    <cdr:to>
      <cdr:x>0.61769</cdr:x>
      <cdr:y>0.2736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D38AB2-AF64-2380-738E-3E47AF43483E}"/>
            </a:ext>
          </a:extLst>
        </cdr:cNvPr>
        <cdr:cNvSpPr txBox="1"/>
      </cdr:nvSpPr>
      <cdr:spPr>
        <a:xfrm xmlns:a="http://schemas.openxmlformats.org/drawingml/2006/main">
          <a:off x="2028998" y="755592"/>
          <a:ext cx="684068" cy="142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0.48561</cdr:x>
      <cdr:y>0.19977</cdr:y>
    </cdr:from>
    <cdr:to>
      <cdr:x>0.65092</cdr:x>
      <cdr:y>0.27693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0D5ADBD-C1F0-6C0B-2420-AD14E65BAA41}"/>
            </a:ext>
          </a:extLst>
        </cdr:cNvPr>
        <cdr:cNvSpPr txBox="1"/>
      </cdr:nvSpPr>
      <cdr:spPr>
        <a:xfrm xmlns:a="http://schemas.openxmlformats.org/drawingml/2006/main">
          <a:off x="2126488" y="663060"/>
          <a:ext cx="723904" cy="256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3E8D-4380-4549-8D9A-E76EAE8529FA}">
  <dimension ref="B3:M63"/>
  <sheetViews>
    <sheetView tabSelected="1" zoomScale="78" workbookViewId="0">
      <selection activeCell="D17" sqref="D17"/>
    </sheetView>
  </sheetViews>
  <sheetFormatPr defaultRowHeight="14.4" x14ac:dyDescent="0.3"/>
  <cols>
    <col min="1" max="1" width="7.21875" style="6" customWidth="1"/>
    <col min="2" max="16384" width="8.88671875" style="6"/>
  </cols>
  <sheetData>
    <row r="3" spans="2:13" x14ac:dyDescent="0.3">
      <c r="B3" s="6" t="s">
        <v>19</v>
      </c>
    </row>
    <row r="4" spans="2:13" x14ac:dyDescent="0.3">
      <c r="C4" s="2" t="s">
        <v>0</v>
      </c>
      <c r="D4" s="2">
        <v>75</v>
      </c>
      <c r="E4" s="3" t="s">
        <v>15</v>
      </c>
    </row>
    <row r="5" spans="2:13" x14ac:dyDescent="0.3">
      <c r="C5" s="2" t="s">
        <v>1</v>
      </c>
      <c r="D5" s="2">
        <v>10000</v>
      </c>
      <c r="E5" s="3" t="s">
        <v>15</v>
      </c>
    </row>
    <row r="6" spans="2:13" x14ac:dyDescent="0.3">
      <c r="C6" s="2" t="s">
        <v>16</v>
      </c>
      <c r="D6" s="2">
        <v>165</v>
      </c>
      <c r="E6" s="3" t="s">
        <v>17</v>
      </c>
    </row>
    <row r="7" spans="2:13" x14ac:dyDescent="0.3">
      <c r="C7" s="2" t="s">
        <v>2</v>
      </c>
      <c r="D7" s="2">
        <v>0.75</v>
      </c>
      <c r="E7" s="3"/>
    </row>
    <row r="8" spans="2:13" x14ac:dyDescent="0.3">
      <c r="C8" s="2" t="s">
        <v>10</v>
      </c>
      <c r="D8" s="2">
        <v>0.25</v>
      </c>
      <c r="E8" s="3"/>
    </row>
    <row r="9" spans="2:13" ht="16.2" x14ac:dyDescent="0.3">
      <c r="C9" s="2" t="s">
        <v>18</v>
      </c>
      <c r="D9" s="2">
        <v>55</v>
      </c>
      <c r="E9" s="3" t="s">
        <v>17</v>
      </c>
    </row>
    <row r="12" spans="2:13" ht="24.6" x14ac:dyDescent="0.55000000000000004">
      <c r="H12" s="10" t="s">
        <v>1</v>
      </c>
      <c r="I12" s="10" t="s">
        <v>24</v>
      </c>
      <c r="J12" s="10" t="s">
        <v>25</v>
      </c>
      <c r="K12" s="10" t="s">
        <v>3</v>
      </c>
      <c r="L12" s="10" t="s">
        <v>26</v>
      </c>
      <c r="M12" s="10" t="s">
        <v>27</v>
      </c>
    </row>
    <row r="13" spans="2:13" x14ac:dyDescent="0.3">
      <c r="H13" s="6">
        <v>0</v>
      </c>
      <c r="I13" s="6">
        <f>1.15*H13</f>
        <v>0</v>
      </c>
      <c r="J13" s="6">
        <f>0.88*H13</f>
        <v>0</v>
      </c>
      <c r="K13" s="6">
        <f>0.29*H13</f>
        <v>0</v>
      </c>
      <c r="L13" s="6">
        <f>0.565*H13</f>
        <v>0</v>
      </c>
      <c r="M13" s="6">
        <f>L13+2000</f>
        <v>2000</v>
      </c>
    </row>
    <row r="14" spans="2:13" x14ac:dyDescent="0.3">
      <c r="H14" s="6">
        <f>H13+200</f>
        <v>200</v>
      </c>
      <c r="I14" s="6">
        <f t="shared" ref="I14:I63" si="0">1.15*H14</f>
        <v>229.99999999999997</v>
      </c>
      <c r="J14" s="6">
        <f t="shared" ref="J14:J63" si="1">0.88*H14</f>
        <v>176</v>
      </c>
      <c r="K14" s="6">
        <f t="shared" ref="K14:K63" si="2">0.29*H14</f>
        <v>57.999999999999993</v>
      </c>
      <c r="L14" s="6">
        <f t="shared" ref="L14:L63" si="3">0.565*H14</f>
        <v>112.99999999999999</v>
      </c>
      <c r="M14" s="6">
        <f t="shared" ref="M14:M63" si="4">L14+2000</f>
        <v>2113</v>
      </c>
    </row>
    <row r="15" spans="2:13" x14ac:dyDescent="0.3">
      <c r="H15" s="6">
        <f t="shared" ref="H15:H63" si="5">H14+200</f>
        <v>400</v>
      </c>
      <c r="I15" s="6">
        <f t="shared" si="0"/>
        <v>459.99999999999994</v>
      </c>
      <c r="J15" s="6">
        <f t="shared" si="1"/>
        <v>352</v>
      </c>
      <c r="K15" s="6">
        <f t="shared" si="2"/>
        <v>115.99999999999999</v>
      </c>
      <c r="L15" s="6">
        <f t="shared" si="3"/>
        <v>225.99999999999997</v>
      </c>
      <c r="M15" s="6">
        <f t="shared" si="4"/>
        <v>2226</v>
      </c>
    </row>
    <row r="16" spans="2:13" x14ac:dyDescent="0.3">
      <c r="H16" s="6">
        <f t="shared" si="5"/>
        <v>600</v>
      </c>
      <c r="I16" s="6">
        <f t="shared" si="0"/>
        <v>690</v>
      </c>
      <c r="J16" s="6">
        <f t="shared" si="1"/>
        <v>528</v>
      </c>
      <c r="K16" s="6">
        <f t="shared" si="2"/>
        <v>174</v>
      </c>
      <c r="L16" s="6">
        <f t="shared" si="3"/>
        <v>338.99999999999994</v>
      </c>
      <c r="M16" s="6">
        <f t="shared" si="4"/>
        <v>2339</v>
      </c>
    </row>
    <row r="17" spans="8:13" x14ac:dyDescent="0.3">
      <c r="H17" s="6">
        <f t="shared" si="5"/>
        <v>800</v>
      </c>
      <c r="I17" s="6">
        <f t="shared" si="0"/>
        <v>919.99999999999989</v>
      </c>
      <c r="J17" s="6">
        <f t="shared" si="1"/>
        <v>704</v>
      </c>
      <c r="K17" s="6">
        <f t="shared" si="2"/>
        <v>231.99999999999997</v>
      </c>
      <c r="L17" s="6">
        <f t="shared" si="3"/>
        <v>451.99999999999994</v>
      </c>
      <c r="M17" s="6">
        <f t="shared" si="4"/>
        <v>2452</v>
      </c>
    </row>
    <row r="18" spans="8:13" x14ac:dyDescent="0.3">
      <c r="H18" s="6">
        <f t="shared" si="5"/>
        <v>1000</v>
      </c>
      <c r="I18" s="6">
        <f t="shared" si="0"/>
        <v>1150</v>
      </c>
      <c r="J18" s="6">
        <f t="shared" si="1"/>
        <v>880</v>
      </c>
      <c r="K18" s="6">
        <f t="shared" si="2"/>
        <v>290</v>
      </c>
      <c r="L18" s="6">
        <f t="shared" si="3"/>
        <v>565</v>
      </c>
      <c r="M18" s="6">
        <f t="shared" si="4"/>
        <v>2565</v>
      </c>
    </row>
    <row r="19" spans="8:13" x14ac:dyDescent="0.3">
      <c r="H19" s="6">
        <f t="shared" si="5"/>
        <v>1200</v>
      </c>
      <c r="I19" s="6">
        <f t="shared" si="0"/>
        <v>1380</v>
      </c>
      <c r="J19" s="6">
        <f t="shared" si="1"/>
        <v>1056</v>
      </c>
      <c r="K19" s="6">
        <f t="shared" si="2"/>
        <v>348</v>
      </c>
      <c r="L19" s="6">
        <f t="shared" si="3"/>
        <v>677.99999999999989</v>
      </c>
      <c r="M19" s="6">
        <f t="shared" si="4"/>
        <v>2678</v>
      </c>
    </row>
    <row r="20" spans="8:13" x14ac:dyDescent="0.3">
      <c r="H20" s="6">
        <f t="shared" si="5"/>
        <v>1400</v>
      </c>
      <c r="I20" s="6">
        <f t="shared" si="0"/>
        <v>1609.9999999999998</v>
      </c>
      <c r="J20" s="6">
        <f t="shared" si="1"/>
        <v>1232</v>
      </c>
      <c r="K20" s="6">
        <f t="shared" si="2"/>
        <v>406</v>
      </c>
      <c r="L20" s="6">
        <f t="shared" si="3"/>
        <v>790.99999999999989</v>
      </c>
      <c r="M20" s="6">
        <f t="shared" si="4"/>
        <v>2791</v>
      </c>
    </row>
    <row r="21" spans="8:13" x14ac:dyDescent="0.3">
      <c r="H21" s="6">
        <f t="shared" si="5"/>
        <v>1600</v>
      </c>
      <c r="I21" s="6">
        <f t="shared" si="0"/>
        <v>1839.9999999999998</v>
      </c>
      <c r="J21" s="6">
        <f t="shared" si="1"/>
        <v>1408</v>
      </c>
      <c r="K21" s="6">
        <f t="shared" si="2"/>
        <v>463.99999999999994</v>
      </c>
      <c r="L21" s="6">
        <f t="shared" si="3"/>
        <v>903.99999999999989</v>
      </c>
      <c r="M21" s="6">
        <f t="shared" si="4"/>
        <v>2904</v>
      </c>
    </row>
    <row r="22" spans="8:13" x14ac:dyDescent="0.3">
      <c r="H22" s="6">
        <f t="shared" si="5"/>
        <v>1800</v>
      </c>
      <c r="I22" s="6">
        <f t="shared" si="0"/>
        <v>2070</v>
      </c>
      <c r="J22" s="6">
        <f t="shared" si="1"/>
        <v>1584</v>
      </c>
      <c r="K22" s="6">
        <f t="shared" si="2"/>
        <v>522</v>
      </c>
      <c r="L22" s="6">
        <f t="shared" si="3"/>
        <v>1016.9999999999999</v>
      </c>
      <c r="M22" s="6">
        <f t="shared" si="4"/>
        <v>3017</v>
      </c>
    </row>
    <row r="23" spans="8:13" x14ac:dyDescent="0.3">
      <c r="H23" s="6">
        <f t="shared" si="5"/>
        <v>2000</v>
      </c>
      <c r="I23" s="6">
        <f t="shared" si="0"/>
        <v>2300</v>
      </c>
      <c r="J23" s="6">
        <f t="shared" si="1"/>
        <v>1760</v>
      </c>
      <c r="K23" s="6">
        <f t="shared" si="2"/>
        <v>580</v>
      </c>
      <c r="L23" s="6">
        <f t="shared" si="3"/>
        <v>1130</v>
      </c>
      <c r="M23" s="6">
        <f t="shared" si="4"/>
        <v>3130</v>
      </c>
    </row>
    <row r="24" spans="8:13" x14ac:dyDescent="0.3">
      <c r="H24" s="6">
        <f t="shared" si="5"/>
        <v>2200</v>
      </c>
      <c r="I24" s="6">
        <f t="shared" si="0"/>
        <v>2530</v>
      </c>
      <c r="J24" s="6">
        <f t="shared" si="1"/>
        <v>1936</v>
      </c>
      <c r="K24" s="6">
        <f t="shared" si="2"/>
        <v>638</v>
      </c>
      <c r="L24" s="6">
        <f t="shared" si="3"/>
        <v>1242.9999999999998</v>
      </c>
      <c r="M24" s="6">
        <f t="shared" si="4"/>
        <v>3243</v>
      </c>
    </row>
    <row r="25" spans="8:13" x14ac:dyDescent="0.3">
      <c r="H25" s="6">
        <f t="shared" si="5"/>
        <v>2400</v>
      </c>
      <c r="I25" s="6">
        <f t="shared" si="0"/>
        <v>2760</v>
      </c>
      <c r="J25" s="6">
        <f t="shared" si="1"/>
        <v>2112</v>
      </c>
      <c r="K25" s="6">
        <f t="shared" si="2"/>
        <v>696</v>
      </c>
      <c r="L25" s="6">
        <f t="shared" si="3"/>
        <v>1355.9999999999998</v>
      </c>
      <c r="M25" s="6">
        <f t="shared" si="4"/>
        <v>3356</v>
      </c>
    </row>
    <row r="26" spans="8:13" x14ac:dyDescent="0.3">
      <c r="H26" s="6">
        <f t="shared" si="5"/>
        <v>2600</v>
      </c>
      <c r="I26" s="6">
        <f t="shared" si="0"/>
        <v>2989.9999999999995</v>
      </c>
      <c r="J26" s="6">
        <f t="shared" si="1"/>
        <v>2288</v>
      </c>
      <c r="K26" s="6">
        <f t="shared" si="2"/>
        <v>754</v>
      </c>
      <c r="L26" s="6">
        <f t="shared" si="3"/>
        <v>1468.9999999999998</v>
      </c>
      <c r="M26" s="6">
        <f t="shared" si="4"/>
        <v>3469</v>
      </c>
    </row>
    <row r="27" spans="8:13" x14ac:dyDescent="0.3">
      <c r="H27" s="6">
        <f t="shared" si="5"/>
        <v>2800</v>
      </c>
      <c r="I27" s="6">
        <f t="shared" si="0"/>
        <v>3219.9999999999995</v>
      </c>
      <c r="J27" s="6">
        <f t="shared" si="1"/>
        <v>2464</v>
      </c>
      <c r="K27" s="6">
        <f t="shared" si="2"/>
        <v>812</v>
      </c>
      <c r="L27" s="6">
        <f t="shared" si="3"/>
        <v>1581.9999999999998</v>
      </c>
      <c r="M27" s="6">
        <f t="shared" si="4"/>
        <v>3582</v>
      </c>
    </row>
    <row r="28" spans="8:13" x14ac:dyDescent="0.3">
      <c r="H28" s="6">
        <f t="shared" si="5"/>
        <v>3000</v>
      </c>
      <c r="I28" s="6">
        <f t="shared" si="0"/>
        <v>3449.9999999999995</v>
      </c>
      <c r="J28" s="6">
        <f t="shared" si="1"/>
        <v>2640</v>
      </c>
      <c r="K28" s="6">
        <f t="shared" si="2"/>
        <v>869.99999999999989</v>
      </c>
      <c r="L28" s="6">
        <f t="shared" si="3"/>
        <v>1694.9999999999998</v>
      </c>
      <c r="M28" s="6">
        <f t="shared" si="4"/>
        <v>3695</v>
      </c>
    </row>
    <row r="29" spans="8:13" x14ac:dyDescent="0.3">
      <c r="H29" s="6">
        <f t="shared" si="5"/>
        <v>3200</v>
      </c>
      <c r="I29" s="6">
        <f t="shared" si="0"/>
        <v>3679.9999999999995</v>
      </c>
      <c r="J29" s="6">
        <f t="shared" si="1"/>
        <v>2816</v>
      </c>
      <c r="K29" s="6">
        <f t="shared" si="2"/>
        <v>927.99999999999989</v>
      </c>
      <c r="L29" s="6">
        <f t="shared" si="3"/>
        <v>1807.9999999999998</v>
      </c>
      <c r="M29" s="6">
        <f t="shared" si="4"/>
        <v>3808</v>
      </c>
    </row>
    <row r="30" spans="8:13" x14ac:dyDescent="0.3">
      <c r="H30" s="6">
        <f t="shared" si="5"/>
        <v>3400</v>
      </c>
      <c r="I30" s="6">
        <f t="shared" si="0"/>
        <v>3909.9999999999995</v>
      </c>
      <c r="J30" s="6">
        <f t="shared" si="1"/>
        <v>2992</v>
      </c>
      <c r="K30" s="6">
        <f t="shared" si="2"/>
        <v>985.99999999999989</v>
      </c>
      <c r="L30" s="6">
        <f t="shared" si="3"/>
        <v>1920.9999999999998</v>
      </c>
      <c r="M30" s="6">
        <f t="shared" si="4"/>
        <v>3921</v>
      </c>
    </row>
    <row r="31" spans="8:13" x14ac:dyDescent="0.3">
      <c r="H31" s="6">
        <f t="shared" si="5"/>
        <v>3600</v>
      </c>
      <c r="I31" s="6">
        <f t="shared" si="0"/>
        <v>4140</v>
      </c>
      <c r="J31" s="6">
        <f t="shared" si="1"/>
        <v>3168</v>
      </c>
      <c r="K31" s="6">
        <f t="shared" si="2"/>
        <v>1044</v>
      </c>
      <c r="L31" s="6">
        <f t="shared" si="3"/>
        <v>2033.9999999999998</v>
      </c>
      <c r="M31" s="6">
        <f t="shared" si="4"/>
        <v>4034</v>
      </c>
    </row>
    <row r="32" spans="8:13" x14ac:dyDescent="0.3">
      <c r="H32" s="6">
        <f t="shared" si="5"/>
        <v>3800</v>
      </c>
      <c r="I32" s="6">
        <f t="shared" si="0"/>
        <v>4370</v>
      </c>
      <c r="J32" s="6">
        <f t="shared" si="1"/>
        <v>3344</v>
      </c>
      <c r="K32" s="6">
        <f t="shared" si="2"/>
        <v>1102</v>
      </c>
      <c r="L32" s="6">
        <f t="shared" si="3"/>
        <v>2147</v>
      </c>
      <c r="M32" s="6">
        <f t="shared" si="4"/>
        <v>4147</v>
      </c>
    </row>
    <row r="33" spans="8:13" x14ac:dyDescent="0.3">
      <c r="H33" s="6">
        <f t="shared" si="5"/>
        <v>4000</v>
      </c>
      <c r="I33" s="6">
        <f t="shared" si="0"/>
        <v>4600</v>
      </c>
      <c r="J33" s="6">
        <f t="shared" si="1"/>
        <v>3520</v>
      </c>
      <c r="K33" s="6">
        <f t="shared" si="2"/>
        <v>1160</v>
      </c>
      <c r="L33" s="6">
        <f t="shared" si="3"/>
        <v>2260</v>
      </c>
      <c r="M33" s="6">
        <f t="shared" si="4"/>
        <v>4260</v>
      </c>
    </row>
    <row r="34" spans="8:13" x14ac:dyDescent="0.3">
      <c r="H34" s="6">
        <f t="shared" si="5"/>
        <v>4200</v>
      </c>
      <c r="I34" s="6">
        <f t="shared" si="0"/>
        <v>4830</v>
      </c>
      <c r="J34" s="6">
        <f t="shared" si="1"/>
        <v>3696</v>
      </c>
      <c r="K34" s="6">
        <f t="shared" si="2"/>
        <v>1218</v>
      </c>
      <c r="L34" s="6">
        <f t="shared" si="3"/>
        <v>2373</v>
      </c>
      <c r="M34" s="6">
        <f t="shared" si="4"/>
        <v>4373</v>
      </c>
    </row>
    <row r="35" spans="8:13" x14ac:dyDescent="0.3">
      <c r="H35" s="6">
        <f t="shared" si="5"/>
        <v>4400</v>
      </c>
      <c r="I35" s="6">
        <f t="shared" si="0"/>
        <v>5060</v>
      </c>
      <c r="J35" s="6">
        <f t="shared" si="1"/>
        <v>3872</v>
      </c>
      <c r="K35" s="6">
        <f t="shared" si="2"/>
        <v>1276</v>
      </c>
      <c r="L35" s="6">
        <f t="shared" si="3"/>
        <v>2485.9999999999995</v>
      </c>
      <c r="M35" s="6">
        <f t="shared" si="4"/>
        <v>4486</v>
      </c>
    </row>
    <row r="36" spans="8:13" x14ac:dyDescent="0.3">
      <c r="H36" s="6">
        <f t="shared" si="5"/>
        <v>4600</v>
      </c>
      <c r="I36" s="6">
        <f t="shared" si="0"/>
        <v>5290</v>
      </c>
      <c r="J36" s="6">
        <f t="shared" si="1"/>
        <v>4048</v>
      </c>
      <c r="K36" s="6">
        <f t="shared" si="2"/>
        <v>1334</v>
      </c>
      <c r="L36" s="6">
        <f t="shared" si="3"/>
        <v>2598.9999999999995</v>
      </c>
      <c r="M36" s="6">
        <f t="shared" si="4"/>
        <v>4599</v>
      </c>
    </row>
    <row r="37" spans="8:13" x14ac:dyDescent="0.3">
      <c r="H37" s="6">
        <f t="shared" si="5"/>
        <v>4800</v>
      </c>
      <c r="I37" s="6">
        <f t="shared" si="0"/>
        <v>5520</v>
      </c>
      <c r="J37" s="6">
        <f t="shared" si="1"/>
        <v>4224</v>
      </c>
      <c r="K37" s="6">
        <f t="shared" si="2"/>
        <v>1392</v>
      </c>
      <c r="L37" s="6">
        <f t="shared" si="3"/>
        <v>2711.9999999999995</v>
      </c>
      <c r="M37" s="6">
        <f t="shared" si="4"/>
        <v>4712</v>
      </c>
    </row>
    <row r="38" spans="8:13" x14ac:dyDescent="0.3">
      <c r="H38" s="6">
        <f t="shared" si="5"/>
        <v>5000</v>
      </c>
      <c r="I38" s="6">
        <f t="shared" si="0"/>
        <v>5750</v>
      </c>
      <c r="J38" s="6">
        <f t="shared" si="1"/>
        <v>4400</v>
      </c>
      <c r="K38" s="6">
        <f t="shared" si="2"/>
        <v>1450</v>
      </c>
      <c r="L38" s="6">
        <f t="shared" si="3"/>
        <v>2824.9999999999995</v>
      </c>
      <c r="M38" s="6">
        <f t="shared" si="4"/>
        <v>4825</v>
      </c>
    </row>
    <row r="39" spans="8:13" x14ac:dyDescent="0.3">
      <c r="H39" s="6">
        <f t="shared" si="5"/>
        <v>5200</v>
      </c>
      <c r="I39" s="6">
        <f t="shared" si="0"/>
        <v>5979.9999999999991</v>
      </c>
      <c r="J39" s="6">
        <f t="shared" si="1"/>
        <v>4576</v>
      </c>
      <c r="K39" s="6">
        <f t="shared" si="2"/>
        <v>1508</v>
      </c>
      <c r="L39" s="6">
        <f t="shared" si="3"/>
        <v>2937.9999999999995</v>
      </c>
      <c r="M39" s="6">
        <f t="shared" si="4"/>
        <v>4938</v>
      </c>
    </row>
    <row r="40" spans="8:13" x14ac:dyDescent="0.3">
      <c r="H40" s="6">
        <f t="shared" si="5"/>
        <v>5400</v>
      </c>
      <c r="I40" s="6">
        <f t="shared" si="0"/>
        <v>6209.9999999999991</v>
      </c>
      <c r="J40" s="6">
        <f t="shared" si="1"/>
        <v>4752</v>
      </c>
      <c r="K40" s="6">
        <f t="shared" si="2"/>
        <v>1566</v>
      </c>
      <c r="L40" s="6">
        <f t="shared" si="3"/>
        <v>3050.9999999999995</v>
      </c>
      <c r="M40" s="6">
        <f t="shared" si="4"/>
        <v>5051</v>
      </c>
    </row>
    <row r="41" spans="8:13" x14ac:dyDescent="0.3">
      <c r="H41" s="6">
        <f t="shared" si="5"/>
        <v>5600</v>
      </c>
      <c r="I41" s="6">
        <f t="shared" si="0"/>
        <v>6439.9999999999991</v>
      </c>
      <c r="J41" s="6">
        <f t="shared" si="1"/>
        <v>4928</v>
      </c>
      <c r="K41" s="6">
        <f t="shared" si="2"/>
        <v>1624</v>
      </c>
      <c r="L41" s="6">
        <f t="shared" si="3"/>
        <v>3163.9999999999995</v>
      </c>
      <c r="M41" s="6">
        <f t="shared" si="4"/>
        <v>5164</v>
      </c>
    </row>
    <row r="42" spans="8:13" x14ac:dyDescent="0.3">
      <c r="H42" s="6">
        <f t="shared" si="5"/>
        <v>5800</v>
      </c>
      <c r="I42" s="6">
        <f t="shared" si="0"/>
        <v>6669.9999999999991</v>
      </c>
      <c r="J42" s="6">
        <f t="shared" si="1"/>
        <v>5104</v>
      </c>
      <c r="K42" s="6">
        <f t="shared" si="2"/>
        <v>1681.9999999999998</v>
      </c>
      <c r="L42" s="6">
        <f t="shared" si="3"/>
        <v>3276.9999999999995</v>
      </c>
      <c r="M42" s="6">
        <f t="shared" si="4"/>
        <v>5277</v>
      </c>
    </row>
    <row r="43" spans="8:13" x14ac:dyDescent="0.3">
      <c r="H43" s="6">
        <f t="shared" si="5"/>
        <v>6000</v>
      </c>
      <c r="I43" s="6">
        <f t="shared" si="0"/>
        <v>6899.9999999999991</v>
      </c>
      <c r="J43" s="6">
        <f t="shared" si="1"/>
        <v>5280</v>
      </c>
      <c r="K43" s="6">
        <f t="shared" si="2"/>
        <v>1739.9999999999998</v>
      </c>
      <c r="L43" s="6">
        <f t="shared" si="3"/>
        <v>3389.9999999999995</v>
      </c>
      <c r="M43" s="6">
        <f t="shared" si="4"/>
        <v>5390</v>
      </c>
    </row>
    <row r="44" spans="8:13" x14ac:dyDescent="0.3">
      <c r="H44" s="6">
        <f t="shared" si="5"/>
        <v>6200</v>
      </c>
      <c r="I44" s="6">
        <f t="shared" si="0"/>
        <v>7129.9999999999991</v>
      </c>
      <c r="J44" s="6">
        <f t="shared" si="1"/>
        <v>5456</v>
      </c>
      <c r="K44" s="6">
        <f t="shared" si="2"/>
        <v>1797.9999999999998</v>
      </c>
      <c r="L44" s="6">
        <f t="shared" si="3"/>
        <v>3502.9999999999995</v>
      </c>
      <c r="M44" s="6">
        <f t="shared" si="4"/>
        <v>5503</v>
      </c>
    </row>
    <row r="45" spans="8:13" x14ac:dyDescent="0.3">
      <c r="H45" s="6">
        <f t="shared" si="5"/>
        <v>6400</v>
      </c>
      <c r="I45" s="6">
        <f t="shared" si="0"/>
        <v>7359.9999999999991</v>
      </c>
      <c r="J45" s="6">
        <f t="shared" si="1"/>
        <v>5632</v>
      </c>
      <c r="K45" s="6">
        <f t="shared" si="2"/>
        <v>1855.9999999999998</v>
      </c>
      <c r="L45" s="6">
        <f t="shared" si="3"/>
        <v>3615.9999999999995</v>
      </c>
      <c r="M45" s="6">
        <f t="shared" si="4"/>
        <v>5616</v>
      </c>
    </row>
    <row r="46" spans="8:13" x14ac:dyDescent="0.3">
      <c r="H46" s="6">
        <f t="shared" si="5"/>
        <v>6600</v>
      </c>
      <c r="I46" s="6">
        <f t="shared" si="0"/>
        <v>7589.9999999999991</v>
      </c>
      <c r="J46" s="6">
        <f t="shared" si="1"/>
        <v>5808</v>
      </c>
      <c r="K46" s="6">
        <f t="shared" si="2"/>
        <v>1913.9999999999998</v>
      </c>
      <c r="L46" s="6">
        <f t="shared" si="3"/>
        <v>3728.9999999999995</v>
      </c>
      <c r="M46" s="6">
        <f t="shared" si="4"/>
        <v>5729</v>
      </c>
    </row>
    <row r="47" spans="8:13" x14ac:dyDescent="0.3">
      <c r="H47" s="6">
        <f t="shared" si="5"/>
        <v>6800</v>
      </c>
      <c r="I47" s="6">
        <f t="shared" si="0"/>
        <v>7819.9999999999991</v>
      </c>
      <c r="J47" s="6">
        <f t="shared" si="1"/>
        <v>5984</v>
      </c>
      <c r="K47" s="6">
        <f t="shared" si="2"/>
        <v>1971.9999999999998</v>
      </c>
      <c r="L47" s="6">
        <f t="shared" si="3"/>
        <v>3841.9999999999995</v>
      </c>
      <c r="M47" s="6">
        <f t="shared" si="4"/>
        <v>5842</v>
      </c>
    </row>
    <row r="48" spans="8:13" x14ac:dyDescent="0.3">
      <c r="H48" s="6">
        <f t="shared" si="5"/>
        <v>7000</v>
      </c>
      <c r="I48" s="6">
        <f t="shared" si="0"/>
        <v>8049.9999999999991</v>
      </c>
      <c r="J48" s="6">
        <f t="shared" si="1"/>
        <v>6160</v>
      </c>
      <c r="K48" s="6">
        <f t="shared" si="2"/>
        <v>2029.9999999999998</v>
      </c>
      <c r="L48" s="6">
        <f t="shared" si="3"/>
        <v>3954.9999999999995</v>
      </c>
      <c r="M48" s="6">
        <f t="shared" si="4"/>
        <v>5955</v>
      </c>
    </row>
    <row r="49" spans="8:13" x14ac:dyDescent="0.3">
      <c r="H49" s="6">
        <f t="shared" si="5"/>
        <v>7200</v>
      </c>
      <c r="I49" s="6">
        <f t="shared" si="0"/>
        <v>8280</v>
      </c>
      <c r="J49" s="6">
        <f t="shared" si="1"/>
        <v>6336</v>
      </c>
      <c r="K49" s="6">
        <f t="shared" si="2"/>
        <v>2088</v>
      </c>
      <c r="L49" s="6">
        <f t="shared" si="3"/>
        <v>4067.9999999999995</v>
      </c>
      <c r="M49" s="6">
        <f t="shared" si="4"/>
        <v>6068</v>
      </c>
    </row>
    <row r="50" spans="8:13" x14ac:dyDescent="0.3">
      <c r="H50" s="6">
        <f t="shared" si="5"/>
        <v>7400</v>
      </c>
      <c r="I50" s="6">
        <f t="shared" si="0"/>
        <v>8510</v>
      </c>
      <c r="J50" s="6">
        <f t="shared" si="1"/>
        <v>6512</v>
      </c>
      <c r="K50" s="6">
        <f t="shared" si="2"/>
        <v>2146</v>
      </c>
      <c r="L50" s="6">
        <f t="shared" si="3"/>
        <v>4181</v>
      </c>
      <c r="M50" s="6">
        <f t="shared" si="4"/>
        <v>6181</v>
      </c>
    </row>
    <row r="51" spans="8:13" x14ac:dyDescent="0.3">
      <c r="H51" s="6">
        <f t="shared" si="5"/>
        <v>7600</v>
      </c>
      <c r="I51" s="6">
        <f t="shared" si="0"/>
        <v>8740</v>
      </c>
      <c r="J51" s="6">
        <f t="shared" si="1"/>
        <v>6688</v>
      </c>
      <c r="K51" s="6">
        <f t="shared" si="2"/>
        <v>2204</v>
      </c>
      <c r="L51" s="6">
        <f t="shared" si="3"/>
        <v>4294</v>
      </c>
      <c r="M51" s="6">
        <f t="shared" si="4"/>
        <v>6294</v>
      </c>
    </row>
    <row r="52" spans="8:13" x14ac:dyDescent="0.3">
      <c r="H52" s="6">
        <f t="shared" si="5"/>
        <v>7800</v>
      </c>
      <c r="I52" s="6">
        <f t="shared" si="0"/>
        <v>8970</v>
      </c>
      <c r="J52" s="6">
        <f t="shared" si="1"/>
        <v>6864</v>
      </c>
      <c r="K52" s="6">
        <f t="shared" si="2"/>
        <v>2262</v>
      </c>
      <c r="L52" s="6">
        <f t="shared" si="3"/>
        <v>4407</v>
      </c>
      <c r="M52" s="6">
        <f t="shared" si="4"/>
        <v>6407</v>
      </c>
    </row>
    <row r="53" spans="8:13" x14ac:dyDescent="0.3">
      <c r="H53" s="6">
        <f t="shared" si="5"/>
        <v>8000</v>
      </c>
      <c r="I53" s="6">
        <f t="shared" si="0"/>
        <v>9200</v>
      </c>
      <c r="J53" s="6">
        <f t="shared" si="1"/>
        <v>7040</v>
      </c>
      <c r="K53" s="6">
        <f t="shared" si="2"/>
        <v>2320</v>
      </c>
      <c r="L53" s="6">
        <f t="shared" si="3"/>
        <v>4520</v>
      </c>
      <c r="M53" s="6">
        <f t="shared" si="4"/>
        <v>6520</v>
      </c>
    </row>
    <row r="54" spans="8:13" x14ac:dyDescent="0.3">
      <c r="H54" s="6">
        <f t="shared" si="5"/>
        <v>8200</v>
      </c>
      <c r="I54" s="6">
        <f t="shared" si="0"/>
        <v>9430</v>
      </c>
      <c r="J54" s="6">
        <f t="shared" si="1"/>
        <v>7216</v>
      </c>
      <c r="K54" s="6">
        <f t="shared" si="2"/>
        <v>2378</v>
      </c>
      <c r="L54" s="6">
        <f t="shared" si="3"/>
        <v>4633</v>
      </c>
      <c r="M54" s="6">
        <f t="shared" si="4"/>
        <v>6633</v>
      </c>
    </row>
    <row r="55" spans="8:13" x14ac:dyDescent="0.3">
      <c r="H55" s="6">
        <f t="shared" si="5"/>
        <v>8400</v>
      </c>
      <c r="I55" s="6">
        <f t="shared" si="0"/>
        <v>9660</v>
      </c>
      <c r="J55" s="6">
        <f t="shared" si="1"/>
        <v>7392</v>
      </c>
      <c r="K55" s="6">
        <f t="shared" si="2"/>
        <v>2436</v>
      </c>
      <c r="L55" s="6">
        <f t="shared" si="3"/>
        <v>4746</v>
      </c>
      <c r="M55" s="6">
        <f t="shared" si="4"/>
        <v>6746</v>
      </c>
    </row>
    <row r="56" spans="8:13" x14ac:dyDescent="0.3">
      <c r="H56" s="6">
        <f t="shared" si="5"/>
        <v>8600</v>
      </c>
      <c r="I56" s="6">
        <f t="shared" si="0"/>
        <v>9890</v>
      </c>
      <c r="J56" s="6">
        <f t="shared" si="1"/>
        <v>7568</v>
      </c>
      <c r="K56" s="6">
        <f t="shared" si="2"/>
        <v>2494</v>
      </c>
      <c r="L56" s="6">
        <f t="shared" si="3"/>
        <v>4858.9999999999991</v>
      </c>
      <c r="M56" s="6">
        <f t="shared" si="4"/>
        <v>6858.9999999999991</v>
      </c>
    </row>
    <row r="57" spans="8:13" x14ac:dyDescent="0.3">
      <c r="H57" s="6">
        <f t="shared" si="5"/>
        <v>8800</v>
      </c>
      <c r="I57" s="6">
        <f t="shared" si="0"/>
        <v>10120</v>
      </c>
      <c r="J57" s="6">
        <f t="shared" si="1"/>
        <v>7744</v>
      </c>
      <c r="K57" s="6">
        <f t="shared" si="2"/>
        <v>2552</v>
      </c>
      <c r="L57" s="6">
        <f t="shared" si="3"/>
        <v>4971.9999999999991</v>
      </c>
      <c r="M57" s="6">
        <f t="shared" si="4"/>
        <v>6971.9999999999991</v>
      </c>
    </row>
    <row r="58" spans="8:13" x14ac:dyDescent="0.3">
      <c r="H58" s="6">
        <f t="shared" si="5"/>
        <v>9000</v>
      </c>
      <c r="I58" s="6">
        <f t="shared" si="0"/>
        <v>10350</v>
      </c>
      <c r="J58" s="6">
        <f t="shared" si="1"/>
        <v>7920</v>
      </c>
      <c r="K58" s="6">
        <f t="shared" si="2"/>
        <v>2610</v>
      </c>
      <c r="L58" s="6">
        <f t="shared" si="3"/>
        <v>5084.9999999999991</v>
      </c>
      <c r="M58" s="6">
        <f t="shared" si="4"/>
        <v>7084.9999999999991</v>
      </c>
    </row>
    <row r="59" spans="8:13" x14ac:dyDescent="0.3">
      <c r="H59" s="6">
        <f t="shared" si="5"/>
        <v>9200</v>
      </c>
      <c r="I59" s="6">
        <f t="shared" si="0"/>
        <v>10580</v>
      </c>
      <c r="J59" s="6">
        <f t="shared" si="1"/>
        <v>8096</v>
      </c>
      <c r="K59" s="6">
        <f t="shared" si="2"/>
        <v>2668</v>
      </c>
      <c r="L59" s="6">
        <f t="shared" si="3"/>
        <v>5197.9999999999991</v>
      </c>
      <c r="M59" s="6">
        <f t="shared" si="4"/>
        <v>7197.9999999999991</v>
      </c>
    </row>
    <row r="60" spans="8:13" x14ac:dyDescent="0.3">
      <c r="H60" s="6">
        <f t="shared" si="5"/>
        <v>9400</v>
      </c>
      <c r="I60" s="6">
        <f t="shared" si="0"/>
        <v>10810</v>
      </c>
      <c r="J60" s="6">
        <f t="shared" si="1"/>
        <v>8272</v>
      </c>
      <c r="K60" s="6">
        <f t="shared" si="2"/>
        <v>2726</v>
      </c>
      <c r="L60" s="6">
        <f t="shared" si="3"/>
        <v>5310.9999999999991</v>
      </c>
      <c r="M60" s="6">
        <f t="shared" si="4"/>
        <v>7310.9999999999991</v>
      </c>
    </row>
    <row r="61" spans="8:13" x14ac:dyDescent="0.3">
      <c r="H61" s="6">
        <f t="shared" si="5"/>
        <v>9600</v>
      </c>
      <c r="I61" s="6">
        <f t="shared" si="0"/>
        <v>11040</v>
      </c>
      <c r="J61" s="6">
        <f t="shared" si="1"/>
        <v>8448</v>
      </c>
      <c r="K61" s="6">
        <f t="shared" si="2"/>
        <v>2784</v>
      </c>
      <c r="L61" s="6">
        <f t="shared" si="3"/>
        <v>5423.9999999999991</v>
      </c>
      <c r="M61" s="6">
        <f t="shared" si="4"/>
        <v>7423.9999999999991</v>
      </c>
    </row>
    <row r="62" spans="8:13" x14ac:dyDescent="0.3">
      <c r="H62" s="6">
        <f t="shared" si="5"/>
        <v>9800</v>
      </c>
      <c r="I62" s="6">
        <f t="shared" si="0"/>
        <v>11270</v>
      </c>
      <c r="J62" s="6">
        <f t="shared" si="1"/>
        <v>8624</v>
      </c>
      <c r="K62" s="6">
        <f t="shared" si="2"/>
        <v>2842</v>
      </c>
      <c r="L62" s="6">
        <f t="shared" si="3"/>
        <v>5536.9999999999991</v>
      </c>
      <c r="M62" s="6">
        <f t="shared" si="4"/>
        <v>7536.9999999999991</v>
      </c>
    </row>
    <row r="63" spans="8:13" x14ac:dyDescent="0.3">
      <c r="H63" s="6">
        <f t="shared" si="5"/>
        <v>10000</v>
      </c>
      <c r="I63" s="6">
        <f t="shared" si="0"/>
        <v>11500</v>
      </c>
      <c r="J63" s="6">
        <f t="shared" si="1"/>
        <v>8800</v>
      </c>
      <c r="K63" s="6">
        <f t="shared" si="2"/>
        <v>2900</v>
      </c>
      <c r="L63" s="6">
        <f t="shared" si="3"/>
        <v>5649.9999999999991</v>
      </c>
      <c r="M63" s="6">
        <f t="shared" si="4"/>
        <v>7649.9999999999991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2E8-3B7E-491A-B313-3ACE2DFA216C}">
  <dimension ref="D1:AU58"/>
  <sheetViews>
    <sheetView topLeftCell="F1" zoomScale="73" zoomScaleNormal="205" workbookViewId="0">
      <selection activeCell="E37" sqref="E37"/>
    </sheetView>
  </sheetViews>
  <sheetFormatPr defaultRowHeight="14.4" x14ac:dyDescent="0.3"/>
  <cols>
    <col min="1" max="16384" width="8.88671875" style="6"/>
  </cols>
  <sheetData>
    <row r="1" spans="4:47" x14ac:dyDescent="0.3">
      <c r="P1" s="7"/>
      <c r="S1" s="7"/>
    </row>
    <row r="2" spans="4:47" x14ac:dyDescent="0.3">
      <c r="D2" s="11" t="s">
        <v>7</v>
      </c>
      <c r="E2" s="11"/>
      <c r="P2" s="7"/>
      <c r="S2" s="7"/>
      <c r="X2" s="11" t="s">
        <v>8</v>
      </c>
      <c r="Y2" s="11"/>
      <c r="AM2" s="11" t="s">
        <v>9</v>
      </c>
      <c r="AN2" s="11"/>
    </row>
    <row r="3" spans="4:47" x14ac:dyDescent="0.3">
      <c r="D3" s="4" t="s">
        <v>10</v>
      </c>
      <c r="E3" s="4">
        <v>0.25</v>
      </c>
      <c r="P3" s="7"/>
      <c r="S3" s="7"/>
      <c r="X3" s="4" t="s">
        <v>10</v>
      </c>
      <c r="Y3" s="4">
        <v>0.27</v>
      </c>
      <c r="AM3" s="4" t="s">
        <v>10</v>
      </c>
      <c r="AN3" s="4">
        <v>0.3</v>
      </c>
    </row>
    <row r="4" spans="4:47" ht="16.2" x14ac:dyDescent="0.3">
      <c r="D4" s="1" t="s">
        <v>11</v>
      </c>
      <c r="E4" s="4" t="s">
        <v>12</v>
      </c>
      <c r="X4" s="1" t="s">
        <v>11</v>
      </c>
      <c r="Y4" s="4" t="s">
        <v>13</v>
      </c>
      <c r="AM4" s="1" t="s">
        <v>11</v>
      </c>
      <c r="AN4" s="4" t="s">
        <v>14</v>
      </c>
    </row>
    <row r="6" spans="4:47" x14ac:dyDescent="0.3">
      <c r="G6" s="8" t="s">
        <v>6</v>
      </c>
      <c r="Q6" s="5" t="s">
        <v>4</v>
      </c>
      <c r="Y6" s="5" t="s">
        <v>4</v>
      </c>
      <c r="AH6" s="9" t="s">
        <v>5</v>
      </c>
      <c r="AP6" s="9" t="s">
        <v>5</v>
      </c>
    </row>
    <row r="7" spans="4:47" ht="20.399999999999999" x14ac:dyDescent="0.45">
      <c r="G7" s="6" t="s">
        <v>1</v>
      </c>
      <c r="H7" s="6" t="s">
        <v>24</v>
      </c>
      <c r="I7" s="6" t="s">
        <v>25</v>
      </c>
      <c r="J7" s="6" t="s">
        <v>23</v>
      </c>
      <c r="K7" s="5" t="s">
        <v>28</v>
      </c>
      <c r="L7" s="6" t="s">
        <v>29</v>
      </c>
      <c r="Q7" s="6" t="s">
        <v>1</v>
      </c>
      <c r="R7" s="6" t="s">
        <v>24</v>
      </c>
      <c r="S7" s="6" t="s">
        <v>25</v>
      </c>
      <c r="T7" s="6" t="s">
        <v>23</v>
      </c>
      <c r="U7" s="5" t="s">
        <v>28</v>
      </c>
      <c r="V7" s="6" t="s">
        <v>29</v>
      </c>
      <c r="Y7" s="6" t="s">
        <v>1</v>
      </c>
      <c r="Z7" s="6" t="s">
        <v>24</v>
      </c>
      <c r="AA7" s="6" t="s">
        <v>25</v>
      </c>
      <c r="AB7" s="6" t="s">
        <v>23</v>
      </c>
      <c r="AC7" s="5" t="s">
        <v>28</v>
      </c>
      <c r="AD7" s="6" t="s">
        <v>29</v>
      </c>
      <c r="AH7" s="6" t="s">
        <v>1</v>
      </c>
      <c r="AI7" s="6" t="s">
        <v>24</v>
      </c>
      <c r="AJ7" s="6" t="s">
        <v>25</v>
      </c>
      <c r="AK7" s="6" t="s">
        <v>23</v>
      </c>
      <c r="AL7" s="5" t="s">
        <v>28</v>
      </c>
      <c r="AM7" s="6" t="s">
        <v>29</v>
      </c>
      <c r="AP7" s="6" t="s">
        <v>1</v>
      </c>
      <c r="AQ7" s="6" t="s">
        <v>24</v>
      </c>
      <c r="AR7" s="6" t="s">
        <v>25</v>
      </c>
      <c r="AS7" s="6" t="s">
        <v>23</v>
      </c>
      <c r="AT7" s="5" t="s">
        <v>28</v>
      </c>
      <c r="AU7" s="6" t="s">
        <v>29</v>
      </c>
    </row>
    <row r="8" spans="4:47" x14ac:dyDescent="0.3">
      <c r="G8" s="6">
        <v>9900</v>
      </c>
      <c r="H8" s="6">
        <f>1.145*G8</f>
        <v>11335.5</v>
      </c>
      <c r="I8" s="6">
        <f>0.87*G8</f>
        <v>8613</v>
      </c>
      <c r="J8" s="6">
        <f>0.29*G8</f>
        <v>2871</v>
      </c>
      <c r="K8" s="5">
        <f>0.57*G8</f>
        <v>5642.9999999999991</v>
      </c>
      <c r="L8" s="6">
        <f>K8+2000</f>
        <v>7642.9999999999991</v>
      </c>
      <c r="Q8" s="6">
        <v>9911</v>
      </c>
      <c r="R8" s="6">
        <f>1.145*Q8</f>
        <v>11348.094999999999</v>
      </c>
      <c r="S8" s="6">
        <f>0.87*Q8</f>
        <v>8622.57</v>
      </c>
      <c r="T8" s="6">
        <f>0.33*Q8</f>
        <v>3270.63</v>
      </c>
      <c r="U8" s="5">
        <f>0.61*Q8</f>
        <v>6045.71</v>
      </c>
      <c r="V8" s="6">
        <f>U8+2000</f>
        <v>8045.71</v>
      </c>
      <c r="Y8" s="6">
        <f>Q58+75</f>
        <v>10036</v>
      </c>
      <c r="Z8" s="6">
        <f>1.145*Y8</f>
        <v>11491.22</v>
      </c>
      <c r="AA8" s="6">
        <f>0.87*Y8</f>
        <v>8731.32</v>
      </c>
      <c r="AB8" s="6">
        <f>0.33*Y8</f>
        <v>3311.88</v>
      </c>
      <c r="AC8" s="5">
        <f>0.61*Y8</f>
        <v>6121.96</v>
      </c>
      <c r="AD8" s="6">
        <f>AC8+2000</f>
        <v>8121.96</v>
      </c>
      <c r="AH8" s="6">
        <v>9911</v>
      </c>
      <c r="AI8" s="6">
        <f>1.145*AH8</f>
        <v>11348.094999999999</v>
      </c>
      <c r="AJ8" s="6">
        <f>0.87*AH8</f>
        <v>8622.57</v>
      </c>
      <c r="AK8" s="6">
        <f>0.38*AH8</f>
        <v>3766.18</v>
      </c>
      <c r="AL8" s="5">
        <f>0.66*AH8</f>
        <v>6541.26</v>
      </c>
      <c r="AM8" s="6">
        <f>AL8+2000</f>
        <v>8541.26</v>
      </c>
      <c r="AP8" s="6">
        <f>AH58+75</f>
        <v>10036</v>
      </c>
      <c r="AQ8" s="6">
        <f>1.145*AP8</f>
        <v>11491.22</v>
      </c>
      <c r="AR8" s="6">
        <f>0.87*AP8</f>
        <v>8731.32</v>
      </c>
      <c r="AS8" s="6">
        <f>0.38*AP8</f>
        <v>3813.68</v>
      </c>
      <c r="AT8" s="5">
        <f>0.66*AP8</f>
        <v>6623.76</v>
      </c>
      <c r="AU8" s="6">
        <f>AT8+2000</f>
        <v>8623.76</v>
      </c>
    </row>
    <row r="9" spans="4:47" x14ac:dyDescent="0.3">
      <c r="G9" s="6">
        <f>G8+5</f>
        <v>9905</v>
      </c>
      <c r="H9" s="6">
        <f t="shared" ref="H9:H48" si="0">1.145*G9</f>
        <v>11341.225</v>
      </c>
      <c r="I9" s="6">
        <f t="shared" ref="I9:I48" si="1">0.87*G9</f>
        <v>8617.35</v>
      </c>
      <c r="J9" s="6">
        <f t="shared" ref="J9:J48" si="2">0.29*G9</f>
        <v>2872.45</v>
      </c>
      <c r="K9" s="5">
        <f t="shared" ref="K9:K48" si="3">0.57*G9</f>
        <v>5645.8499999999995</v>
      </c>
      <c r="L9" s="6">
        <f t="shared" ref="L9:L48" si="4">K9+2000</f>
        <v>7645.8499999999995</v>
      </c>
      <c r="Q9" s="6">
        <f>Q8+1</f>
        <v>9912</v>
      </c>
      <c r="R9" s="6">
        <f t="shared" ref="R9:R58" si="5">1.145*Q9</f>
        <v>11349.24</v>
      </c>
      <c r="S9" s="6">
        <f t="shared" ref="S9:S58" si="6">0.87*Q9</f>
        <v>8623.44</v>
      </c>
      <c r="T9" s="6">
        <f t="shared" ref="T9:T58" si="7">0.33*Q9</f>
        <v>3270.96</v>
      </c>
      <c r="U9" s="5">
        <f t="shared" ref="U9:U58" si="8">0.61*Q9</f>
        <v>6046.32</v>
      </c>
      <c r="V9" s="6">
        <f t="shared" ref="V9:V58" si="9">U9+2000</f>
        <v>8046.32</v>
      </c>
      <c r="Y9" s="6">
        <f>Y8+1</f>
        <v>10037</v>
      </c>
      <c r="Z9" s="6">
        <f t="shared" ref="Z9:Z58" si="10">1.145*Y9</f>
        <v>11492.365</v>
      </c>
      <c r="AA9" s="6">
        <f t="shared" ref="AA9:AA58" si="11">0.87*Y9</f>
        <v>8732.19</v>
      </c>
      <c r="AB9" s="6">
        <f t="shared" ref="AB9:AB58" si="12">0.33*Y9</f>
        <v>3312.21</v>
      </c>
      <c r="AC9" s="5">
        <f t="shared" ref="AC9:AC58" si="13">0.61*Y9</f>
        <v>6122.57</v>
      </c>
      <c r="AD9" s="6">
        <f t="shared" ref="AD9:AD58" si="14">AC9+2000</f>
        <v>8122.57</v>
      </c>
      <c r="AH9" s="6">
        <f>AH8+1</f>
        <v>9912</v>
      </c>
      <c r="AI9" s="6">
        <f t="shared" ref="AI9:AI58" si="15">1.145*AH9</f>
        <v>11349.24</v>
      </c>
      <c r="AJ9" s="6">
        <f t="shared" ref="AJ9:AJ58" si="16">0.87*AH9</f>
        <v>8623.44</v>
      </c>
      <c r="AK9" s="6">
        <f t="shared" ref="AK9:AK58" si="17">0.38*AH9</f>
        <v>3766.56</v>
      </c>
      <c r="AL9" s="5">
        <f t="shared" ref="AL9:AL58" si="18">0.66*AH9</f>
        <v>6541.92</v>
      </c>
      <c r="AM9" s="6">
        <f t="shared" ref="AM9:AM58" si="19">AL9+2000</f>
        <v>8541.92</v>
      </c>
      <c r="AP9" s="6">
        <f>AP8+1</f>
        <v>10037</v>
      </c>
      <c r="AQ9" s="6">
        <f t="shared" ref="AQ9:AQ58" si="20">1.145*AP9</f>
        <v>11492.365</v>
      </c>
      <c r="AR9" s="6">
        <f t="shared" ref="AR9:AR58" si="21">0.87*AP9</f>
        <v>8732.19</v>
      </c>
      <c r="AS9" s="6">
        <f t="shared" ref="AS9:AS58" si="22">0.38*AP9</f>
        <v>3814.06</v>
      </c>
      <c r="AT9" s="5">
        <f t="shared" ref="AT9:AT58" si="23">0.66*AP9</f>
        <v>6624.42</v>
      </c>
      <c r="AU9" s="6">
        <f t="shared" ref="AU9:AU58" si="24">AT9+2000</f>
        <v>8624.42</v>
      </c>
    </row>
    <row r="10" spans="4:47" x14ac:dyDescent="0.3">
      <c r="G10" s="6">
        <f t="shared" ref="G10:G47" si="25">G9+5</f>
        <v>9910</v>
      </c>
      <c r="H10" s="6">
        <f t="shared" si="0"/>
        <v>11346.95</v>
      </c>
      <c r="I10" s="6">
        <f t="shared" si="1"/>
        <v>8621.7000000000007</v>
      </c>
      <c r="J10" s="6">
        <f t="shared" si="2"/>
        <v>2873.8999999999996</v>
      </c>
      <c r="K10" s="5">
        <f t="shared" si="3"/>
        <v>5648.7</v>
      </c>
      <c r="L10" s="6">
        <f t="shared" si="4"/>
        <v>7648.7</v>
      </c>
      <c r="Q10" s="6">
        <f t="shared" ref="Q10:Q58" si="26">Q9+1</f>
        <v>9913</v>
      </c>
      <c r="R10" s="6">
        <f t="shared" si="5"/>
        <v>11350.385</v>
      </c>
      <c r="S10" s="6">
        <f t="shared" si="6"/>
        <v>8624.31</v>
      </c>
      <c r="T10" s="6">
        <f t="shared" si="7"/>
        <v>3271.29</v>
      </c>
      <c r="U10" s="5">
        <f t="shared" si="8"/>
        <v>6046.93</v>
      </c>
      <c r="V10" s="6">
        <f t="shared" si="9"/>
        <v>8046.93</v>
      </c>
      <c r="Y10" s="6">
        <f t="shared" ref="Y10:Y56" si="27">Y9+1</f>
        <v>10038</v>
      </c>
      <c r="Z10" s="6">
        <f t="shared" si="10"/>
        <v>11493.51</v>
      </c>
      <c r="AA10" s="6">
        <f t="shared" si="11"/>
        <v>8733.06</v>
      </c>
      <c r="AB10" s="6">
        <f t="shared" si="12"/>
        <v>3312.54</v>
      </c>
      <c r="AC10" s="5">
        <f t="shared" si="13"/>
        <v>6123.18</v>
      </c>
      <c r="AD10" s="6">
        <f t="shared" si="14"/>
        <v>8123.18</v>
      </c>
      <c r="AH10" s="6">
        <f t="shared" ref="AH10:AH58" si="28">AH9+1</f>
        <v>9913</v>
      </c>
      <c r="AI10" s="6">
        <f t="shared" si="15"/>
        <v>11350.385</v>
      </c>
      <c r="AJ10" s="6">
        <f t="shared" si="16"/>
        <v>8624.31</v>
      </c>
      <c r="AK10" s="6">
        <f t="shared" si="17"/>
        <v>3766.94</v>
      </c>
      <c r="AL10" s="5">
        <f t="shared" si="18"/>
        <v>6542.58</v>
      </c>
      <c r="AM10" s="6">
        <f t="shared" si="19"/>
        <v>8542.58</v>
      </c>
      <c r="AP10" s="6">
        <f t="shared" ref="AP10:AP56" si="29">AP9+1</f>
        <v>10038</v>
      </c>
      <c r="AQ10" s="6">
        <f t="shared" si="20"/>
        <v>11493.51</v>
      </c>
      <c r="AR10" s="6">
        <f t="shared" si="21"/>
        <v>8733.06</v>
      </c>
      <c r="AS10" s="6">
        <f t="shared" si="22"/>
        <v>3814.44</v>
      </c>
      <c r="AT10" s="5">
        <f t="shared" si="23"/>
        <v>6625.08</v>
      </c>
      <c r="AU10" s="6">
        <f t="shared" si="24"/>
        <v>8625.08</v>
      </c>
    </row>
    <row r="11" spans="4:47" x14ac:dyDescent="0.3">
      <c r="G11" s="6">
        <f t="shared" si="25"/>
        <v>9915</v>
      </c>
      <c r="H11" s="6">
        <f t="shared" si="0"/>
        <v>11352.674999999999</v>
      </c>
      <c r="I11" s="6">
        <f t="shared" si="1"/>
        <v>8626.0499999999993</v>
      </c>
      <c r="J11" s="6">
        <f t="shared" si="2"/>
        <v>2875.35</v>
      </c>
      <c r="K11" s="5">
        <f t="shared" si="3"/>
        <v>5651.5499999999993</v>
      </c>
      <c r="L11" s="6">
        <f t="shared" si="4"/>
        <v>7651.5499999999993</v>
      </c>
      <c r="Q11" s="6">
        <f t="shared" si="26"/>
        <v>9914</v>
      </c>
      <c r="R11" s="6">
        <f t="shared" si="5"/>
        <v>11351.53</v>
      </c>
      <c r="S11" s="6">
        <f t="shared" si="6"/>
        <v>8625.18</v>
      </c>
      <c r="T11" s="6">
        <f t="shared" si="7"/>
        <v>3271.6200000000003</v>
      </c>
      <c r="U11" s="5">
        <f t="shared" si="8"/>
        <v>6047.54</v>
      </c>
      <c r="V11" s="6">
        <f t="shared" si="9"/>
        <v>8047.54</v>
      </c>
      <c r="Y11" s="6">
        <f t="shared" si="27"/>
        <v>10039</v>
      </c>
      <c r="Z11" s="6">
        <f t="shared" si="10"/>
        <v>11494.655000000001</v>
      </c>
      <c r="AA11" s="6">
        <f t="shared" si="11"/>
        <v>8733.93</v>
      </c>
      <c r="AB11" s="6">
        <f t="shared" si="12"/>
        <v>3312.8700000000003</v>
      </c>
      <c r="AC11" s="5">
        <f t="shared" si="13"/>
        <v>6123.79</v>
      </c>
      <c r="AD11" s="6">
        <f t="shared" si="14"/>
        <v>8123.79</v>
      </c>
      <c r="AH11" s="6">
        <f t="shared" si="28"/>
        <v>9914</v>
      </c>
      <c r="AI11" s="6">
        <f t="shared" si="15"/>
        <v>11351.53</v>
      </c>
      <c r="AJ11" s="6">
        <f t="shared" si="16"/>
        <v>8625.18</v>
      </c>
      <c r="AK11" s="6">
        <f t="shared" si="17"/>
        <v>3767.32</v>
      </c>
      <c r="AL11" s="5">
        <f t="shared" si="18"/>
        <v>6543.2400000000007</v>
      </c>
      <c r="AM11" s="6">
        <f t="shared" si="19"/>
        <v>8543.2400000000016</v>
      </c>
      <c r="AP11" s="6">
        <f t="shared" si="29"/>
        <v>10039</v>
      </c>
      <c r="AQ11" s="6">
        <f t="shared" si="20"/>
        <v>11494.655000000001</v>
      </c>
      <c r="AR11" s="6">
        <f t="shared" si="21"/>
        <v>8733.93</v>
      </c>
      <c r="AS11" s="6">
        <f t="shared" si="22"/>
        <v>3814.82</v>
      </c>
      <c r="AT11" s="5">
        <f t="shared" si="23"/>
        <v>6625.7400000000007</v>
      </c>
      <c r="AU11" s="6">
        <f t="shared" si="24"/>
        <v>8625.7400000000016</v>
      </c>
    </row>
    <row r="12" spans="4:47" x14ac:dyDescent="0.3">
      <c r="G12" s="6">
        <f t="shared" si="25"/>
        <v>9920</v>
      </c>
      <c r="H12" s="6">
        <f t="shared" si="0"/>
        <v>11358.4</v>
      </c>
      <c r="I12" s="6">
        <f t="shared" si="1"/>
        <v>8630.4</v>
      </c>
      <c r="J12" s="6">
        <f t="shared" si="2"/>
        <v>2876.7999999999997</v>
      </c>
      <c r="K12" s="5">
        <f t="shared" si="3"/>
        <v>5654.4</v>
      </c>
      <c r="L12" s="6">
        <f t="shared" si="4"/>
        <v>7654.4</v>
      </c>
      <c r="Q12" s="6">
        <f t="shared" si="26"/>
        <v>9915</v>
      </c>
      <c r="R12" s="6">
        <f t="shared" si="5"/>
        <v>11352.674999999999</v>
      </c>
      <c r="S12" s="6">
        <f t="shared" si="6"/>
        <v>8626.0499999999993</v>
      </c>
      <c r="T12" s="6">
        <f t="shared" si="7"/>
        <v>3271.9500000000003</v>
      </c>
      <c r="U12" s="5">
        <f t="shared" si="8"/>
        <v>6048.15</v>
      </c>
      <c r="V12" s="6">
        <f t="shared" si="9"/>
        <v>8048.15</v>
      </c>
      <c r="Y12" s="6">
        <f t="shared" si="27"/>
        <v>10040</v>
      </c>
      <c r="Z12" s="6">
        <f t="shared" si="10"/>
        <v>11495.8</v>
      </c>
      <c r="AA12" s="6">
        <f t="shared" si="11"/>
        <v>8734.7999999999993</v>
      </c>
      <c r="AB12" s="6">
        <f t="shared" si="12"/>
        <v>3313.2000000000003</v>
      </c>
      <c r="AC12" s="5">
        <f t="shared" si="13"/>
        <v>6124.4</v>
      </c>
      <c r="AD12" s="6">
        <f t="shared" si="14"/>
        <v>8124.4</v>
      </c>
      <c r="AH12" s="6">
        <f t="shared" si="28"/>
        <v>9915</v>
      </c>
      <c r="AI12" s="6">
        <f t="shared" si="15"/>
        <v>11352.674999999999</v>
      </c>
      <c r="AJ12" s="6">
        <f t="shared" si="16"/>
        <v>8626.0499999999993</v>
      </c>
      <c r="AK12" s="6">
        <f t="shared" si="17"/>
        <v>3767.7</v>
      </c>
      <c r="AL12" s="5">
        <f t="shared" si="18"/>
        <v>6543.9000000000005</v>
      </c>
      <c r="AM12" s="6">
        <f t="shared" si="19"/>
        <v>8543.9000000000015</v>
      </c>
      <c r="AP12" s="6">
        <f t="shared" si="29"/>
        <v>10040</v>
      </c>
      <c r="AQ12" s="6">
        <f t="shared" si="20"/>
        <v>11495.8</v>
      </c>
      <c r="AR12" s="6">
        <f t="shared" si="21"/>
        <v>8734.7999999999993</v>
      </c>
      <c r="AS12" s="6">
        <f t="shared" si="22"/>
        <v>3815.2</v>
      </c>
      <c r="AT12" s="5">
        <f t="shared" si="23"/>
        <v>6626.4000000000005</v>
      </c>
      <c r="AU12" s="6">
        <f t="shared" si="24"/>
        <v>8626.4000000000015</v>
      </c>
    </row>
    <row r="13" spans="4:47" x14ac:dyDescent="0.3">
      <c r="G13" s="6">
        <f t="shared" si="25"/>
        <v>9925</v>
      </c>
      <c r="H13" s="6">
        <f t="shared" si="0"/>
        <v>11364.125</v>
      </c>
      <c r="I13" s="6">
        <f t="shared" si="1"/>
        <v>8634.75</v>
      </c>
      <c r="J13" s="6">
        <f t="shared" si="2"/>
        <v>2878.25</v>
      </c>
      <c r="K13" s="5">
        <f t="shared" si="3"/>
        <v>5657.2499999999991</v>
      </c>
      <c r="L13" s="6">
        <f t="shared" si="4"/>
        <v>7657.2499999999991</v>
      </c>
      <c r="Q13" s="6">
        <f t="shared" si="26"/>
        <v>9916</v>
      </c>
      <c r="R13" s="6">
        <f t="shared" si="5"/>
        <v>11353.82</v>
      </c>
      <c r="S13" s="6">
        <f t="shared" si="6"/>
        <v>8626.92</v>
      </c>
      <c r="T13" s="6">
        <f t="shared" si="7"/>
        <v>3272.28</v>
      </c>
      <c r="U13" s="5">
        <f t="shared" si="8"/>
        <v>6048.76</v>
      </c>
      <c r="V13" s="6">
        <f t="shared" si="9"/>
        <v>8048.76</v>
      </c>
      <c r="Y13" s="6">
        <f t="shared" si="27"/>
        <v>10041</v>
      </c>
      <c r="Z13" s="6">
        <f t="shared" si="10"/>
        <v>11496.945</v>
      </c>
      <c r="AA13" s="6">
        <f t="shared" si="11"/>
        <v>8735.67</v>
      </c>
      <c r="AB13" s="6">
        <f t="shared" si="12"/>
        <v>3313.53</v>
      </c>
      <c r="AC13" s="5">
        <f t="shared" si="13"/>
        <v>6125.01</v>
      </c>
      <c r="AD13" s="6">
        <f t="shared" si="14"/>
        <v>8125.01</v>
      </c>
      <c r="AH13" s="6">
        <f t="shared" si="28"/>
        <v>9916</v>
      </c>
      <c r="AI13" s="6">
        <f t="shared" si="15"/>
        <v>11353.82</v>
      </c>
      <c r="AJ13" s="6">
        <f t="shared" si="16"/>
        <v>8626.92</v>
      </c>
      <c r="AK13" s="6">
        <f t="shared" si="17"/>
        <v>3768.08</v>
      </c>
      <c r="AL13" s="5">
        <f t="shared" si="18"/>
        <v>6544.56</v>
      </c>
      <c r="AM13" s="6">
        <f t="shared" si="19"/>
        <v>8544.5600000000013</v>
      </c>
      <c r="AP13" s="6">
        <f t="shared" si="29"/>
        <v>10041</v>
      </c>
      <c r="AQ13" s="6">
        <f t="shared" si="20"/>
        <v>11496.945</v>
      </c>
      <c r="AR13" s="6">
        <f t="shared" si="21"/>
        <v>8735.67</v>
      </c>
      <c r="AS13" s="6">
        <f t="shared" si="22"/>
        <v>3815.58</v>
      </c>
      <c r="AT13" s="5">
        <f t="shared" si="23"/>
        <v>6627.06</v>
      </c>
      <c r="AU13" s="6">
        <f t="shared" si="24"/>
        <v>8627.0600000000013</v>
      </c>
    </row>
    <row r="14" spans="4:47" x14ac:dyDescent="0.3">
      <c r="G14" s="6">
        <f t="shared" si="25"/>
        <v>9930</v>
      </c>
      <c r="H14" s="6">
        <f t="shared" si="0"/>
        <v>11369.85</v>
      </c>
      <c r="I14" s="6">
        <f t="shared" si="1"/>
        <v>8639.1</v>
      </c>
      <c r="J14" s="6">
        <f t="shared" si="2"/>
        <v>2879.7</v>
      </c>
      <c r="K14" s="5">
        <f t="shared" si="3"/>
        <v>5660.0999999999995</v>
      </c>
      <c r="L14" s="6">
        <f t="shared" si="4"/>
        <v>7660.0999999999995</v>
      </c>
      <c r="Q14" s="6">
        <f t="shared" si="26"/>
        <v>9917</v>
      </c>
      <c r="R14" s="6">
        <f t="shared" si="5"/>
        <v>11354.965</v>
      </c>
      <c r="S14" s="6">
        <f t="shared" si="6"/>
        <v>8627.7899999999991</v>
      </c>
      <c r="T14" s="6">
        <f t="shared" si="7"/>
        <v>3272.61</v>
      </c>
      <c r="U14" s="5">
        <f t="shared" si="8"/>
        <v>6049.37</v>
      </c>
      <c r="V14" s="6">
        <f t="shared" si="9"/>
        <v>8049.37</v>
      </c>
      <c r="Y14" s="6">
        <f t="shared" si="27"/>
        <v>10042</v>
      </c>
      <c r="Z14" s="6">
        <f t="shared" si="10"/>
        <v>11498.09</v>
      </c>
      <c r="AA14" s="6">
        <f t="shared" si="11"/>
        <v>8736.5399999999991</v>
      </c>
      <c r="AB14" s="6">
        <f t="shared" si="12"/>
        <v>3313.86</v>
      </c>
      <c r="AC14" s="5">
        <f t="shared" si="13"/>
        <v>6125.62</v>
      </c>
      <c r="AD14" s="6">
        <f t="shared" si="14"/>
        <v>8125.62</v>
      </c>
      <c r="AH14" s="6">
        <f t="shared" si="28"/>
        <v>9917</v>
      </c>
      <c r="AI14" s="6">
        <f t="shared" si="15"/>
        <v>11354.965</v>
      </c>
      <c r="AJ14" s="6">
        <f t="shared" si="16"/>
        <v>8627.7899999999991</v>
      </c>
      <c r="AK14" s="6">
        <f t="shared" si="17"/>
        <v>3768.46</v>
      </c>
      <c r="AL14" s="5">
        <f t="shared" si="18"/>
        <v>6545.22</v>
      </c>
      <c r="AM14" s="6">
        <f t="shared" si="19"/>
        <v>8545.2200000000012</v>
      </c>
      <c r="AP14" s="6">
        <f t="shared" si="29"/>
        <v>10042</v>
      </c>
      <c r="AQ14" s="6">
        <f t="shared" si="20"/>
        <v>11498.09</v>
      </c>
      <c r="AR14" s="6">
        <f t="shared" si="21"/>
        <v>8736.5399999999991</v>
      </c>
      <c r="AS14" s="6">
        <f t="shared" si="22"/>
        <v>3815.96</v>
      </c>
      <c r="AT14" s="5">
        <f t="shared" si="23"/>
        <v>6627.72</v>
      </c>
      <c r="AU14" s="6">
        <f t="shared" si="24"/>
        <v>8627.7200000000012</v>
      </c>
    </row>
    <row r="15" spans="4:47" x14ac:dyDescent="0.3">
      <c r="G15" s="6">
        <f t="shared" si="25"/>
        <v>9935</v>
      </c>
      <c r="H15" s="6">
        <f t="shared" si="0"/>
        <v>11375.575000000001</v>
      </c>
      <c r="I15" s="6">
        <f t="shared" si="1"/>
        <v>8643.4500000000007</v>
      </c>
      <c r="J15" s="6">
        <f t="shared" si="2"/>
        <v>2881.1499999999996</v>
      </c>
      <c r="K15" s="5">
        <f t="shared" si="3"/>
        <v>5662.95</v>
      </c>
      <c r="L15" s="6">
        <f t="shared" si="4"/>
        <v>7662.95</v>
      </c>
      <c r="Q15" s="6">
        <f t="shared" si="26"/>
        <v>9918</v>
      </c>
      <c r="R15" s="6">
        <f t="shared" si="5"/>
        <v>11356.11</v>
      </c>
      <c r="S15" s="6">
        <f t="shared" si="6"/>
        <v>8628.66</v>
      </c>
      <c r="T15" s="6">
        <f t="shared" si="7"/>
        <v>3272.94</v>
      </c>
      <c r="U15" s="5">
        <f t="shared" si="8"/>
        <v>6049.98</v>
      </c>
      <c r="V15" s="6">
        <f t="shared" si="9"/>
        <v>8049.98</v>
      </c>
      <c r="Y15" s="6">
        <f t="shared" si="27"/>
        <v>10043</v>
      </c>
      <c r="Z15" s="6">
        <f t="shared" si="10"/>
        <v>11499.235000000001</v>
      </c>
      <c r="AA15" s="6">
        <f t="shared" si="11"/>
        <v>8737.41</v>
      </c>
      <c r="AB15" s="6">
        <f t="shared" si="12"/>
        <v>3314.19</v>
      </c>
      <c r="AC15" s="5">
        <f t="shared" si="13"/>
        <v>6126.23</v>
      </c>
      <c r="AD15" s="6">
        <f t="shared" si="14"/>
        <v>8126.23</v>
      </c>
      <c r="AH15" s="6">
        <f t="shared" si="28"/>
        <v>9918</v>
      </c>
      <c r="AI15" s="6">
        <f t="shared" si="15"/>
        <v>11356.11</v>
      </c>
      <c r="AJ15" s="6">
        <f t="shared" si="16"/>
        <v>8628.66</v>
      </c>
      <c r="AK15" s="6">
        <f t="shared" si="17"/>
        <v>3768.84</v>
      </c>
      <c r="AL15" s="5">
        <f t="shared" si="18"/>
        <v>6545.88</v>
      </c>
      <c r="AM15" s="6">
        <f t="shared" si="19"/>
        <v>8545.880000000001</v>
      </c>
      <c r="AP15" s="6">
        <f t="shared" si="29"/>
        <v>10043</v>
      </c>
      <c r="AQ15" s="6">
        <f t="shared" si="20"/>
        <v>11499.235000000001</v>
      </c>
      <c r="AR15" s="6">
        <f t="shared" si="21"/>
        <v>8737.41</v>
      </c>
      <c r="AS15" s="6">
        <f t="shared" si="22"/>
        <v>3816.34</v>
      </c>
      <c r="AT15" s="5">
        <f t="shared" si="23"/>
        <v>6628.38</v>
      </c>
      <c r="AU15" s="6">
        <f t="shared" si="24"/>
        <v>8628.380000000001</v>
      </c>
    </row>
    <row r="16" spans="4:47" x14ac:dyDescent="0.3">
      <c r="G16" s="6">
        <f t="shared" si="25"/>
        <v>9940</v>
      </c>
      <c r="H16" s="6">
        <f t="shared" si="0"/>
        <v>11381.3</v>
      </c>
      <c r="I16" s="6">
        <f t="shared" si="1"/>
        <v>8647.7999999999993</v>
      </c>
      <c r="J16" s="6">
        <f t="shared" si="2"/>
        <v>2882.6</v>
      </c>
      <c r="K16" s="5">
        <f t="shared" si="3"/>
        <v>5665.7999999999993</v>
      </c>
      <c r="L16" s="6">
        <f t="shared" si="4"/>
        <v>7665.7999999999993</v>
      </c>
      <c r="Q16" s="6">
        <f t="shared" si="26"/>
        <v>9919</v>
      </c>
      <c r="R16" s="6">
        <f t="shared" si="5"/>
        <v>11357.255000000001</v>
      </c>
      <c r="S16" s="6">
        <f t="shared" si="6"/>
        <v>8629.5300000000007</v>
      </c>
      <c r="T16" s="6">
        <f t="shared" si="7"/>
        <v>3273.27</v>
      </c>
      <c r="U16" s="5">
        <f t="shared" si="8"/>
        <v>6050.59</v>
      </c>
      <c r="V16" s="6">
        <f t="shared" si="9"/>
        <v>8050.59</v>
      </c>
      <c r="Y16" s="6">
        <f t="shared" si="27"/>
        <v>10044</v>
      </c>
      <c r="Z16" s="6">
        <f t="shared" si="10"/>
        <v>11500.380000000001</v>
      </c>
      <c r="AA16" s="6">
        <f t="shared" si="11"/>
        <v>8738.2800000000007</v>
      </c>
      <c r="AB16" s="6">
        <f t="shared" si="12"/>
        <v>3314.52</v>
      </c>
      <c r="AC16" s="5">
        <f t="shared" si="13"/>
        <v>6126.84</v>
      </c>
      <c r="AD16" s="6">
        <f t="shared" si="14"/>
        <v>8126.84</v>
      </c>
      <c r="AH16" s="6">
        <f t="shared" si="28"/>
        <v>9919</v>
      </c>
      <c r="AI16" s="6">
        <f t="shared" si="15"/>
        <v>11357.255000000001</v>
      </c>
      <c r="AJ16" s="6">
        <f t="shared" si="16"/>
        <v>8629.5300000000007</v>
      </c>
      <c r="AK16" s="6">
        <f t="shared" si="17"/>
        <v>3769.2200000000003</v>
      </c>
      <c r="AL16" s="5">
        <f t="shared" si="18"/>
        <v>6546.54</v>
      </c>
      <c r="AM16" s="6">
        <f t="shared" si="19"/>
        <v>8546.5400000000009</v>
      </c>
      <c r="AP16" s="6">
        <f t="shared" si="29"/>
        <v>10044</v>
      </c>
      <c r="AQ16" s="6">
        <f t="shared" si="20"/>
        <v>11500.380000000001</v>
      </c>
      <c r="AR16" s="6">
        <f t="shared" si="21"/>
        <v>8738.2800000000007</v>
      </c>
      <c r="AS16" s="6">
        <f t="shared" si="22"/>
        <v>3816.7200000000003</v>
      </c>
      <c r="AT16" s="5">
        <f t="shared" si="23"/>
        <v>6629.04</v>
      </c>
      <c r="AU16" s="6">
        <f t="shared" si="24"/>
        <v>8629.0400000000009</v>
      </c>
    </row>
    <row r="17" spans="7:47" x14ac:dyDescent="0.3">
      <c r="G17" s="6">
        <f t="shared" si="25"/>
        <v>9945</v>
      </c>
      <c r="H17" s="6">
        <f t="shared" si="0"/>
        <v>11387.025</v>
      </c>
      <c r="I17" s="6">
        <f t="shared" si="1"/>
        <v>8652.15</v>
      </c>
      <c r="J17" s="6">
        <f t="shared" si="2"/>
        <v>2884.0499999999997</v>
      </c>
      <c r="K17" s="5">
        <f t="shared" si="3"/>
        <v>5668.65</v>
      </c>
      <c r="L17" s="6">
        <f t="shared" si="4"/>
        <v>7668.65</v>
      </c>
      <c r="Q17" s="6">
        <f t="shared" si="26"/>
        <v>9920</v>
      </c>
      <c r="R17" s="6">
        <f t="shared" si="5"/>
        <v>11358.4</v>
      </c>
      <c r="S17" s="6">
        <f t="shared" si="6"/>
        <v>8630.4</v>
      </c>
      <c r="T17" s="6">
        <f t="shared" si="7"/>
        <v>3273.6000000000004</v>
      </c>
      <c r="U17" s="5">
        <f t="shared" si="8"/>
        <v>6051.2</v>
      </c>
      <c r="V17" s="6">
        <f t="shared" si="9"/>
        <v>8051.2</v>
      </c>
      <c r="Y17" s="6">
        <f t="shared" si="27"/>
        <v>10045</v>
      </c>
      <c r="Z17" s="6">
        <f t="shared" si="10"/>
        <v>11501.525</v>
      </c>
      <c r="AA17" s="6">
        <f t="shared" si="11"/>
        <v>8739.15</v>
      </c>
      <c r="AB17" s="6">
        <f t="shared" si="12"/>
        <v>3314.8500000000004</v>
      </c>
      <c r="AC17" s="5">
        <f t="shared" si="13"/>
        <v>6127.45</v>
      </c>
      <c r="AD17" s="6">
        <f t="shared" si="14"/>
        <v>8127.45</v>
      </c>
      <c r="AH17" s="6">
        <f t="shared" si="28"/>
        <v>9920</v>
      </c>
      <c r="AI17" s="6">
        <f t="shared" si="15"/>
        <v>11358.4</v>
      </c>
      <c r="AJ17" s="6">
        <f t="shared" si="16"/>
        <v>8630.4</v>
      </c>
      <c r="AK17" s="6">
        <f t="shared" si="17"/>
        <v>3769.6</v>
      </c>
      <c r="AL17" s="5">
        <f t="shared" si="18"/>
        <v>6547.2000000000007</v>
      </c>
      <c r="AM17" s="6">
        <f t="shared" si="19"/>
        <v>8547.2000000000007</v>
      </c>
      <c r="AP17" s="6">
        <f t="shared" si="29"/>
        <v>10045</v>
      </c>
      <c r="AQ17" s="6">
        <f t="shared" si="20"/>
        <v>11501.525</v>
      </c>
      <c r="AR17" s="6">
        <f t="shared" si="21"/>
        <v>8739.15</v>
      </c>
      <c r="AS17" s="6">
        <f t="shared" si="22"/>
        <v>3817.1</v>
      </c>
      <c r="AT17" s="5">
        <f t="shared" si="23"/>
        <v>6629.7000000000007</v>
      </c>
      <c r="AU17" s="6">
        <f t="shared" si="24"/>
        <v>8629.7000000000007</v>
      </c>
    </row>
    <row r="18" spans="7:47" x14ac:dyDescent="0.3">
      <c r="G18" s="6">
        <f t="shared" si="25"/>
        <v>9950</v>
      </c>
      <c r="H18" s="6">
        <f t="shared" si="0"/>
        <v>11392.75</v>
      </c>
      <c r="I18" s="6">
        <f t="shared" si="1"/>
        <v>8656.5</v>
      </c>
      <c r="J18" s="6">
        <f t="shared" si="2"/>
        <v>2885.5</v>
      </c>
      <c r="K18" s="5">
        <f t="shared" si="3"/>
        <v>5671.4999999999991</v>
      </c>
      <c r="L18" s="6">
        <f t="shared" si="4"/>
        <v>7671.4999999999991</v>
      </c>
      <c r="Q18" s="6">
        <f t="shared" si="26"/>
        <v>9921</v>
      </c>
      <c r="R18" s="6">
        <f t="shared" si="5"/>
        <v>11359.545</v>
      </c>
      <c r="S18" s="6">
        <f t="shared" si="6"/>
        <v>8631.27</v>
      </c>
      <c r="T18" s="6">
        <f t="shared" si="7"/>
        <v>3273.9300000000003</v>
      </c>
      <c r="U18" s="5">
        <f t="shared" si="8"/>
        <v>6051.8099999999995</v>
      </c>
      <c r="V18" s="6">
        <f t="shared" si="9"/>
        <v>8051.8099999999995</v>
      </c>
      <c r="Y18" s="6">
        <f t="shared" si="27"/>
        <v>10046</v>
      </c>
      <c r="Z18" s="6">
        <f t="shared" si="10"/>
        <v>11502.67</v>
      </c>
      <c r="AA18" s="6">
        <f t="shared" si="11"/>
        <v>8740.02</v>
      </c>
      <c r="AB18" s="6">
        <f t="shared" si="12"/>
        <v>3315.1800000000003</v>
      </c>
      <c r="AC18" s="5">
        <f t="shared" si="13"/>
        <v>6128.0599999999995</v>
      </c>
      <c r="AD18" s="6">
        <f t="shared" si="14"/>
        <v>8128.0599999999995</v>
      </c>
      <c r="AH18" s="6">
        <f t="shared" si="28"/>
        <v>9921</v>
      </c>
      <c r="AI18" s="6">
        <f t="shared" si="15"/>
        <v>11359.545</v>
      </c>
      <c r="AJ18" s="6">
        <f t="shared" si="16"/>
        <v>8631.27</v>
      </c>
      <c r="AK18" s="6">
        <f t="shared" si="17"/>
        <v>3769.98</v>
      </c>
      <c r="AL18" s="5">
        <f t="shared" si="18"/>
        <v>6547.8600000000006</v>
      </c>
      <c r="AM18" s="6">
        <f t="shared" si="19"/>
        <v>8547.86</v>
      </c>
      <c r="AP18" s="6">
        <f t="shared" si="29"/>
        <v>10046</v>
      </c>
      <c r="AQ18" s="6">
        <f t="shared" si="20"/>
        <v>11502.67</v>
      </c>
      <c r="AR18" s="6">
        <f t="shared" si="21"/>
        <v>8740.02</v>
      </c>
      <c r="AS18" s="6">
        <f t="shared" si="22"/>
        <v>3817.48</v>
      </c>
      <c r="AT18" s="5">
        <f t="shared" si="23"/>
        <v>6630.3600000000006</v>
      </c>
      <c r="AU18" s="6">
        <f t="shared" si="24"/>
        <v>8630.36</v>
      </c>
    </row>
    <row r="19" spans="7:47" x14ac:dyDescent="0.3">
      <c r="G19" s="6">
        <f t="shared" si="25"/>
        <v>9955</v>
      </c>
      <c r="H19" s="6">
        <f t="shared" si="0"/>
        <v>11398.475</v>
      </c>
      <c r="I19" s="6">
        <f t="shared" si="1"/>
        <v>8660.85</v>
      </c>
      <c r="J19" s="6">
        <f t="shared" si="2"/>
        <v>2886.95</v>
      </c>
      <c r="K19" s="5">
        <f t="shared" si="3"/>
        <v>5674.3499999999995</v>
      </c>
      <c r="L19" s="6">
        <f t="shared" si="4"/>
        <v>7674.3499999999995</v>
      </c>
      <c r="Q19" s="6">
        <f t="shared" si="26"/>
        <v>9922</v>
      </c>
      <c r="R19" s="6">
        <f t="shared" si="5"/>
        <v>11360.69</v>
      </c>
      <c r="S19" s="6">
        <f t="shared" si="6"/>
        <v>8632.14</v>
      </c>
      <c r="T19" s="6">
        <f t="shared" si="7"/>
        <v>3274.26</v>
      </c>
      <c r="U19" s="5">
        <f t="shared" si="8"/>
        <v>6052.42</v>
      </c>
      <c r="V19" s="6">
        <f t="shared" si="9"/>
        <v>8052.42</v>
      </c>
      <c r="Y19" s="6">
        <f t="shared" si="27"/>
        <v>10047</v>
      </c>
      <c r="Z19" s="6">
        <f t="shared" si="10"/>
        <v>11503.815000000001</v>
      </c>
      <c r="AA19" s="6">
        <f t="shared" si="11"/>
        <v>8740.89</v>
      </c>
      <c r="AB19" s="6">
        <f t="shared" si="12"/>
        <v>3315.51</v>
      </c>
      <c r="AC19" s="5">
        <f t="shared" si="13"/>
        <v>6128.67</v>
      </c>
      <c r="AD19" s="6">
        <f t="shared" si="14"/>
        <v>8128.67</v>
      </c>
      <c r="AH19" s="6">
        <f t="shared" si="28"/>
        <v>9922</v>
      </c>
      <c r="AI19" s="6">
        <f t="shared" si="15"/>
        <v>11360.69</v>
      </c>
      <c r="AJ19" s="6">
        <f t="shared" si="16"/>
        <v>8632.14</v>
      </c>
      <c r="AK19" s="6">
        <f t="shared" si="17"/>
        <v>3770.36</v>
      </c>
      <c r="AL19" s="5">
        <f t="shared" si="18"/>
        <v>6548.52</v>
      </c>
      <c r="AM19" s="6">
        <f t="shared" si="19"/>
        <v>8548.52</v>
      </c>
      <c r="AP19" s="6">
        <f t="shared" si="29"/>
        <v>10047</v>
      </c>
      <c r="AQ19" s="6">
        <f t="shared" si="20"/>
        <v>11503.815000000001</v>
      </c>
      <c r="AR19" s="6">
        <f t="shared" si="21"/>
        <v>8740.89</v>
      </c>
      <c r="AS19" s="6">
        <f t="shared" si="22"/>
        <v>3817.86</v>
      </c>
      <c r="AT19" s="5">
        <f t="shared" si="23"/>
        <v>6631.02</v>
      </c>
      <c r="AU19" s="6">
        <f t="shared" si="24"/>
        <v>8631.02</v>
      </c>
    </row>
    <row r="20" spans="7:47" x14ac:dyDescent="0.3">
      <c r="G20" s="6">
        <f t="shared" si="25"/>
        <v>9960</v>
      </c>
      <c r="H20" s="6">
        <f t="shared" si="0"/>
        <v>11404.2</v>
      </c>
      <c r="I20" s="6">
        <f t="shared" si="1"/>
        <v>8665.2000000000007</v>
      </c>
      <c r="J20" s="6">
        <f t="shared" si="2"/>
        <v>2888.3999999999996</v>
      </c>
      <c r="K20" s="5">
        <f t="shared" si="3"/>
        <v>5677.2</v>
      </c>
      <c r="L20" s="6">
        <f t="shared" si="4"/>
        <v>7677.2</v>
      </c>
      <c r="Q20" s="6">
        <f t="shared" si="26"/>
        <v>9923</v>
      </c>
      <c r="R20" s="6">
        <f t="shared" si="5"/>
        <v>11361.835000000001</v>
      </c>
      <c r="S20" s="6">
        <f t="shared" si="6"/>
        <v>8633.01</v>
      </c>
      <c r="T20" s="6">
        <f t="shared" si="7"/>
        <v>3274.59</v>
      </c>
      <c r="U20" s="5">
        <f t="shared" si="8"/>
        <v>6053.03</v>
      </c>
      <c r="V20" s="6">
        <f t="shared" si="9"/>
        <v>8053.03</v>
      </c>
      <c r="Y20" s="6">
        <f t="shared" si="27"/>
        <v>10048</v>
      </c>
      <c r="Z20" s="6">
        <f t="shared" si="10"/>
        <v>11504.960000000001</v>
      </c>
      <c r="AA20" s="6">
        <f t="shared" si="11"/>
        <v>8741.76</v>
      </c>
      <c r="AB20" s="6">
        <f t="shared" si="12"/>
        <v>3315.84</v>
      </c>
      <c r="AC20" s="5">
        <f t="shared" si="13"/>
        <v>6129.28</v>
      </c>
      <c r="AD20" s="6">
        <f t="shared" si="14"/>
        <v>8129.28</v>
      </c>
      <c r="AH20" s="6">
        <f t="shared" si="28"/>
        <v>9923</v>
      </c>
      <c r="AI20" s="6">
        <f t="shared" si="15"/>
        <v>11361.835000000001</v>
      </c>
      <c r="AJ20" s="6">
        <f t="shared" si="16"/>
        <v>8633.01</v>
      </c>
      <c r="AK20" s="6">
        <f t="shared" si="17"/>
        <v>3770.7400000000002</v>
      </c>
      <c r="AL20" s="5">
        <f t="shared" si="18"/>
        <v>6549.18</v>
      </c>
      <c r="AM20" s="6">
        <f t="shared" si="19"/>
        <v>8549.18</v>
      </c>
      <c r="AP20" s="6">
        <f t="shared" si="29"/>
        <v>10048</v>
      </c>
      <c r="AQ20" s="6">
        <f t="shared" si="20"/>
        <v>11504.960000000001</v>
      </c>
      <c r="AR20" s="6">
        <f t="shared" si="21"/>
        <v>8741.76</v>
      </c>
      <c r="AS20" s="6">
        <f t="shared" si="22"/>
        <v>3818.2400000000002</v>
      </c>
      <c r="AT20" s="5">
        <f t="shared" si="23"/>
        <v>6631.68</v>
      </c>
      <c r="AU20" s="6">
        <f t="shared" si="24"/>
        <v>8631.68</v>
      </c>
    </row>
    <row r="21" spans="7:47" x14ac:dyDescent="0.3">
      <c r="G21" s="6">
        <f t="shared" si="25"/>
        <v>9965</v>
      </c>
      <c r="H21" s="6">
        <f t="shared" si="0"/>
        <v>11409.924999999999</v>
      </c>
      <c r="I21" s="6">
        <f t="shared" si="1"/>
        <v>8669.5499999999993</v>
      </c>
      <c r="J21" s="6">
        <f t="shared" si="2"/>
        <v>2889.85</v>
      </c>
      <c r="K21" s="5">
        <f t="shared" si="3"/>
        <v>5680.0499999999993</v>
      </c>
      <c r="L21" s="6">
        <f t="shared" si="4"/>
        <v>7680.0499999999993</v>
      </c>
      <c r="Q21" s="6">
        <f t="shared" si="26"/>
        <v>9924</v>
      </c>
      <c r="R21" s="6">
        <f t="shared" si="5"/>
        <v>11362.98</v>
      </c>
      <c r="S21" s="6">
        <f t="shared" si="6"/>
        <v>8633.8799999999992</v>
      </c>
      <c r="T21" s="6">
        <f t="shared" si="7"/>
        <v>3274.92</v>
      </c>
      <c r="U21" s="5">
        <f t="shared" si="8"/>
        <v>6053.6399999999994</v>
      </c>
      <c r="V21" s="6">
        <f t="shared" si="9"/>
        <v>8053.6399999999994</v>
      </c>
      <c r="Y21" s="6">
        <f t="shared" si="27"/>
        <v>10049</v>
      </c>
      <c r="Z21" s="6">
        <f t="shared" si="10"/>
        <v>11506.105</v>
      </c>
      <c r="AA21" s="6">
        <f t="shared" si="11"/>
        <v>8742.6299999999992</v>
      </c>
      <c r="AB21" s="6">
        <f t="shared" si="12"/>
        <v>3316.17</v>
      </c>
      <c r="AC21" s="5">
        <f t="shared" si="13"/>
        <v>6129.8899999999994</v>
      </c>
      <c r="AD21" s="6">
        <f t="shared" si="14"/>
        <v>8129.8899999999994</v>
      </c>
      <c r="AH21" s="6">
        <f t="shared" si="28"/>
        <v>9924</v>
      </c>
      <c r="AI21" s="6">
        <f t="shared" si="15"/>
        <v>11362.98</v>
      </c>
      <c r="AJ21" s="6">
        <f t="shared" si="16"/>
        <v>8633.8799999999992</v>
      </c>
      <c r="AK21" s="6">
        <f t="shared" si="17"/>
        <v>3771.12</v>
      </c>
      <c r="AL21" s="5">
        <f t="shared" si="18"/>
        <v>6549.84</v>
      </c>
      <c r="AM21" s="6">
        <f t="shared" si="19"/>
        <v>8549.84</v>
      </c>
      <c r="AP21" s="6">
        <f t="shared" si="29"/>
        <v>10049</v>
      </c>
      <c r="AQ21" s="6">
        <f t="shared" si="20"/>
        <v>11506.105</v>
      </c>
      <c r="AR21" s="6">
        <f t="shared" si="21"/>
        <v>8742.6299999999992</v>
      </c>
      <c r="AS21" s="6">
        <f t="shared" si="22"/>
        <v>3818.62</v>
      </c>
      <c r="AT21" s="5">
        <f t="shared" si="23"/>
        <v>6632.34</v>
      </c>
      <c r="AU21" s="6">
        <f t="shared" si="24"/>
        <v>8632.34</v>
      </c>
    </row>
    <row r="22" spans="7:47" x14ac:dyDescent="0.3">
      <c r="G22" s="6">
        <f t="shared" si="25"/>
        <v>9970</v>
      </c>
      <c r="H22" s="6">
        <f t="shared" si="0"/>
        <v>11415.65</v>
      </c>
      <c r="I22" s="6">
        <f t="shared" si="1"/>
        <v>8673.9</v>
      </c>
      <c r="J22" s="6">
        <f t="shared" si="2"/>
        <v>2891.2999999999997</v>
      </c>
      <c r="K22" s="5">
        <f t="shared" si="3"/>
        <v>5682.9</v>
      </c>
      <c r="L22" s="6">
        <f t="shared" si="4"/>
        <v>7682.9</v>
      </c>
      <c r="Q22" s="6">
        <f t="shared" si="26"/>
        <v>9925</v>
      </c>
      <c r="R22" s="6">
        <f t="shared" si="5"/>
        <v>11364.125</v>
      </c>
      <c r="S22" s="6">
        <f t="shared" si="6"/>
        <v>8634.75</v>
      </c>
      <c r="T22" s="6">
        <f t="shared" si="7"/>
        <v>3275.25</v>
      </c>
      <c r="U22" s="5">
        <f t="shared" si="8"/>
        <v>6054.25</v>
      </c>
      <c r="V22" s="6">
        <f t="shared" si="9"/>
        <v>8054.25</v>
      </c>
      <c r="Y22" s="6">
        <f t="shared" si="27"/>
        <v>10050</v>
      </c>
      <c r="Z22" s="6">
        <f t="shared" si="10"/>
        <v>11507.25</v>
      </c>
      <c r="AA22" s="6">
        <f t="shared" si="11"/>
        <v>8743.5</v>
      </c>
      <c r="AB22" s="6">
        <f t="shared" si="12"/>
        <v>3316.5</v>
      </c>
      <c r="AC22" s="5">
        <f t="shared" si="13"/>
        <v>6130.5</v>
      </c>
      <c r="AD22" s="6">
        <f t="shared" si="14"/>
        <v>8130.5</v>
      </c>
      <c r="AH22" s="6">
        <f t="shared" si="28"/>
        <v>9925</v>
      </c>
      <c r="AI22" s="6">
        <f t="shared" si="15"/>
        <v>11364.125</v>
      </c>
      <c r="AJ22" s="6">
        <f t="shared" si="16"/>
        <v>8634.75</v>
      </c>
      <c r="AK22" s="6">
        <f t="shared" si="17"/>
        <v>3771.5</v>
      </c>
      <c r="AL22" s="5">
        <f t="shared" si="18"/>
        <v>6550.5</v>
      </c>
      <c r="AM22" s="6">
        <f t="shared" si="19"/>
        <v>8550.5</v>
      </c>
      <c r="AP22" s="6">
        <f t="shared" si="29"/>
        <v>10050</v>
      </c>
      <c r="AQ22" s="6">
        <f t="shared" si="20"/>
        <v>11507.25</v>
      </c>
      <c r="AR22" s="6">
        <f t="shared" si="21"/>
        <v>8743.5</v>
      </c>
      <c r="AS22" s="6">
        <f t="shared" si="22"/>
        <v>3819</v>
      </c>
      <c r="AT22" s="5">
        <f t="shared" si="23"/>
        <v>6633</v>
      </c>
      <c r="AU22" s="6">
        <f t="shared" si="24"/>
        <v>8633</v>
      </c>
    </row>
    <row r="23" spans="7:47" x14ac:dyDescent="0.3">
      <c r="G23" s="6">
        <f t="shared" si="25"/>
        <v>9975</v>
      </c>
      <c r="H23" s="6">
        <f t="shared" si="0"/>
        <v>11421.375</v>
      </c>
      <c r="I23" s="6">
        <f t="shared" si="1"/>
        <v>8678.25</v>
      </c>
      <c r="J23" s="6">
        <f t="shared" si="2"/>
        <v>2892.75</v>
      </c>
      <c r="K23" s="5">
        <f t="shared" si="3"/>
        <v>5685.7499999999991</v>
      </c>
      <c r="L23" s="6">
        <f t="shared" si="4"/>
        <v>7685.7499999999991</v>
      </c>
      <c r="Q23" s="6">
        <f t="shared" si="26"/>
        <v>9926</v>
      </c>
      <c r="R23" s="6">
        <f t="shared" si="5"/>
        <v>11365.27</v>
      </c>
      <c r="S23" s="6">
        <f t="shared" si="6"/>
        <v>8635.6200000000008</v>
      </c>
      <c r="T23" s="6">
        <f t="shared" si="7"/>
        <v>3275.58</v>
      </c>
      <c r="U23" s="5">
        <f t="shared" si="8"/>
        <v>6054.86</v>
      </c>
      <c r="V23" s="6">
        <f t="shared" si="9"/>
        <v>8054.86</v>
      </c>
      <c r="Y23" s="6">
        <f t="shared" si="27"/>
        <v>10051</v>
      </c>
      <c r="Z23" s="6">
        <f t="shared" si="10"/>
        <v>11508.395</v>
      </c>
      <c r="AA23" s="6">
        <f t="shared" si="11"/>
        <v>8744.3700000000008</v>
      </c>
      <c r="AB23" s="6">
        <f t="shared" si="12"/>
        <v>3316.8300000000004</v>
      </c>
      <c r="AC23" s="5">
        <f t="shared" si="13"/>
        <v>6131.11</v>
      </c>
      <c r="AD23" s="6">
        <f t="shared" si="14"/>
        <v>8131.11</v>
      </c>
      <c r="AH23" s="6">
        <f t="shared" si="28"/>
        <v>9926</v>
      </c>
      <c r="AI23" s="6">
        <f t="shared" si="15"/>
        <v>11365.27</v>
      </c>
      <c r="AJ23" s="6">
        <f t="shared" si="16"/>
        <v>8635.6200000000008</v>
      </c>
      <c r="AK23" s="6">
        <f t="shared" si="17"/>
        <v>3771.88</v>
      </c>
      <c r="AL23" s="5">
        <f t="shared" si="18"/>
        <v>6551.16</v>
      </c>
      <c r="AM23" s="6">
        <f t="shared" si="19"/>
        <v>8551.16</v>
      </c>
      <c r="AP23" s="6">
        <f t="shared" si="29"/>
        <v>10051</v>
      </c>
      <c r="AQ23" s="6">
        <f t="shared" si="20"/>
        <v>11508.395</v>
      </c>
      <c r="AR23" s="6">
        <f t="shared" si="21"/>
        <v>8744.3700000000008</v>
      </c>
      <c r="AS23" s="6">
        <f t="shared" si="22"/>
        <v>3819.38</v>
      </c>
      <c r="AT23" s="5">
        <f t="shared" si="23"/>
        <v>6633.6600000000008</v>
      </c>
      <c r="AU23" s="6">
        <f t="shared" si="24"/>
        <v>8633.66</v>
      </c>
    </row>
    <row r="24" spans="7:47" x14ac:dyDescent="0.3">
      <c r="G24" s="6">
        <f t="shared" si="25"/>
        <v>9980</v>
      </c>
      <c r="H24" s="6">
        <f t="shared" si="0"/>
        <v>11427.1</v>
      </c>
      <c r="I24" s="6">
        <f t="shared" si="1"/>
        <v>8682.6</v>
      </c>
      <c r="J24" s="6">
        <f t="shared" si="2"/>
        <v>2894.2</v>
      </c>
      <c r="K24" s="5">
        <f t="shared" si="3"/>
        <v>5688.5999999999995</v>
      </c>
      <c r="L24" s="6">
        <f t="shared" si="4"/>
        <v>7688.5999999999995</v>
      </c>
      <c r="Q24" s="6">
        <f t="shared" si="26"/>
        <v>9927</v>
      </c>
      <c r="R24" s="6">
        <f t="shared" si="5"/>
        <v>11366.415000000001</v>
      </c>
      <c r="S24" s="6">
        <f t="shared" si="6"/>
        <v>8636.49</v>
      </c>
      <c r="T24" s="6">
        <f t="shared" si="7"/>
        <v>3275.9100000000003</v>
      </c>
      <c r="U24" s="5">
        <f t="shared" si="8"/>
        <v>6055.47</v>
      </c>
      <c r="V24" s="6">
        <f t="shared" si="9"/>
        <v>8055.47</v>
      </c>
      <c r="Y24" s="6">
        <f t="shared" si="27"/>
        <v>10052</v>
      </c>
      <c r="Z24" s="6">
        <f t="shared" si="10"/>
        <v>11509.54</v>
      </c>
      <c r="AA24" s="6">
        <f t="shared" si="11"/>
        <v>8745.24</v>
      </c>
      <c r="AB24" s="6">
        <f t="shared" si="12"/>
        <v>3317.1600000000003</v>
      </c>
      <c r="AC24" s="5">
        <f t="shared" si="13"/>
        <v>6131.72</v>
      </c>
      <c r="AD24" s="6">
        <f t="shared" si="14"/>
        <v>8131.72</v>
      </c>
      <c r="AH24" s="6">
        <f t="shared" si="28"/>
        <v>9927</v>
      </c>
      <c r="AI24" s="6">
        <f t="shared" si="15"/>
        <v>11366.415000000001</v>
      </c>
      <c r="AJ24" s="6">
        <f t="shared" si="16"/>
        <v>8636.49</v>
      </c>
      <c r="AK24" s="6">
        <f t="shared" si="17"/>
        <v>3772.26</v>
      </c>
      <c r="AL24" s="5">
        <f t="shared" si="18"/>
        <v>6551.8200000000006</v>
      </c>
      <c r="AM24" s="6">
        <f t="shared" si="19"/>
        <v>8551.82</v>
      </c>
      <c r="AP24" s="6">
        <f t="shared" si="29"/>
        <v>10052</v>
      </c>
      <c r="AQ24" s="6">
        <f t="shared" si="20"/>
        <v>11509.54</v>
      </c>
      <c r="AR24" s="6">
        <f t="shared" si="21"/>
        <v>8745.24</v>
      </c>
      <c r="AS24" s="6">
        <f t="shared" si="22"/>
        <v>3819.76</v>
      </c>
      <c r="AT24" s="5">
        <f t="shared" si="23"/>
        <v>6634.3200000000006</v>
      </c>
      <c r="AU24" s="6">
        <f t="shared" si="24"/>
        <v>8634.32</v>
      </c>
    </row>
    <row r="25" spans="7:47" x14ac:dyDescent="0.3">
      <c r="G25" s="6">
        <f t="shared" si="25"/>
        <v>9985</v>
      </c>
      <c r="H25" s="6">
        <f t="shared" si="0"/>
        <v>11432.825000000001</v>
      </c>
      <c r="I25" s="6">
        <f t="shared" si="1"/>
        <v>8686.9500000000007</v>
      </c>
      <c r="J25" s="6">
        <f t="shared" si="2"/>
        <v>2895.6499999999996</v>
      </c>
      <c r="K25" s="5">
        <f t="shared" si="3"/>
        <v>5691.45</v>
      </c>
      <c r="L25" s="6">
        <f t="shared" si="4"/>
        <v>7691.45</v>
      </c>
      <c r="Q25" s="6">
        <f t="shared" si="26"/>
        <v>9928</v>
      </c>
      <c r="R25" s="6">
        <f t="shared" si="5"/>
        <v>11367.56</v>
      </c>
      <c r="S25" s="6">
        <f t="shared" si="6"/>
        <v>8637.36</v>
      </c>
      <c r="T25" s="6">
        <f t="shared" si="7"/>
        <v>3276.2400000000002</v>
      </c>
      <c r="U25" s="5">
        <f t="shared" si="8"/>
        <v>6056.08</v>
      </c>
      <c r="V25" s="6">
        <f t="shared" si="9"/>
        <v>8056.08</v>
      </c>
      <c r="Y25" s="6">
        <f t="shared" si="27"/>
        <v>10053</v>
      </c>
      <c r="Z25" s="6">
        <f t="shared" si="10"/>
        <v>11510.684999999999</v>
      </c>
      <c r="AA25" s="6">
        <f t="shared" si="11"/>
        <v>8746.11</v>
      </c>
      <c r="AB25" s="6">
        <f t="shared" si="12"/>
        <v>3317.4900000000002</v>
      </c>
      <c r="AC25" s="5">
        <f t="shared" si="13"/>
        <v>6132.33</v>
      </c>
      <c r="AD25" s="6">
        <f t="shared" si="14"/>
        <v>8132.33</v>
      </c>
      <c r="AH25" s="6">
        <f t="shared" si="28"/>
        <v>9928</v>
      </c>
      <c r="AI25" s="6">
        <f t="shared" si="15"/>
        <v>11367.56</v>
      </c>
      <c r="AJ25" s="6">
        <f t="shared" si="16"/>
        <v>8637.36</v>
      </c>
      <c r="AK25" s="6">
        <f t="shared" si="17"/>
        <v>3772.64</v>
      </c>
      <c r="AL25" s="5">
        <f t="shared" si="18"/>
        <v>6552.4800000000005</v>
      </c>
      <c r="AM25" s="6">
        <f t="shared" si="19"/>
        <v>8552.48</v>
      </c>
      <c r="AP25" s="6">
        <f t="shared" si="29"/>
        <v>10053</v>
      </c>
      <c r="AQ25" s="6">
        <f t="shared" si="20"/>
        <v>11510.684999999999</v>
      </c>
      <c r="AR25" s="6">
        <f t="shared" si="21"/>
        <v>8746.11</v>
      </c>
      <c r="AS25" s="6">
        <f t="shared" si="22"/>
        <v>3820.14</v>
      </c>
      <c r="AT25" s="5">
        <f t="shared" si="23"/>
        <v>6634.9800000000005</v>
      </c>
      <c r="AU25" s="6">
        <f t="shared" si="24"/>
        <v>8634.98</v>
      </c>
    </row>
    <row r="26" spans="7:47" x14ac:dyDescent="0.3">
      <c r="G26" s="6">
        <f t="shared" si="25"/>
        <v>9990</v>
      </c>
      <c r="H26" s="6">
        <f t="shared" si="0"/>
        <v>11438.55</v>
      </c>
      <c r="I26" s="6">
        <f t="shared" si="1"/>
        <v>8691.2999999999993</v>
      </c>
      <c r="J26" s="6">
        <f t="shared" si="2"/>
        <v>2897.1</v>
      </c>
      <c r="K26" s="5">
        <f t="shared" si="3"/>
        <v>5694.2999999999993</v>
      </c>
      <c r="L26" s="6">
        <f t="shared" si="4"/>
        <v>7694.2999999999993</v>
      </c>
      <c r="Q26" s="6">
        <f t="shared" si="26"/>
        <v>9929</v>
      </c>
      <c r="R26" s="6">
        <f t="shared" si="5"/>
        <v>11368.705</v>
      </c>
      <c r="S26" s="6">
        <f t="shared" si="6"/>
        <v>8638.23</v>
      </c>
      <c r="T26" s="6">
        <f t="shared" si="7"/>
        <v>3276.57</v>
      </c>
      <c r="U26" s="5">
        <f t="shared" si="8"/>
        <v>6056.69</v>
      </c>
      <c r="V26" s="6">
        <f t="shared" si="9"/>
        <v>8056.69</v>
      </c>
      <c r="Y26" s="6">
        <f t="shared" si="27"/>
        <v>10054</v>
      </c>
      <c r="Z26" s="6">
        <f t="shared" si="10"/>
        <v>11511.83</v>
      </c>
      <c r="AA26" s="6">
        <f t="shared" si="11"/>
        <v>8746.98</v>
      </c>
      <c r="AB26" s="6">
        <f t="shared" si="12"/>
        <v>3317.82</v>
      </c>
      <c r="AC26" s="5">
        <f t="shared" si="13"/>
        <v>6132.94</v>
      </c>
      <c r="AD26" s="6">
        <f t="shared" si="14"/>
        <v>8132.94</v>
      </c>
      <c r="AH26" s="6">
        <f t="shared" si="28"/>
        <v>9929</v>
      </c>
      <c r="AI26" s="6">
        <f t="shared" si="15"/>
        <v>11368.705</v>
      </c>
      <c r="AJ26" s="6">
        <f t="shared" si="16"/>
        <v>8638.23</v>
      </c>
      <c r="AK26" s="6">
        <f t="shared" si="17"/>
        <v>3773.02</v>
      </c>
      <c r="AL26" s="5">
        <f t="shared" si="18"/>
        <v>6553.14</v>
      </c>
      <c r="AM26" s="6">
        <f t="shared" si="19"/>
        <v>8553.14</v>
      </c>
      <c r="AP26" s="6">
        <f t="shared" si="29"/>
        <v>10054</v>
      </c>
      <c r="AQ26" s="6">
        <f t="shared" si="20"/>
        <v>11511.83</v>
      </c>
      <c r="AR26" s="6">
        <f t="shared" si="21"/>
        <v>8746.98</v>
      </c>
      <c r="AS26" s="6">
        <f t="shared" si="22"/>
        <v>3820.52</v>
      </c>
      <c r="AT26" s="5">
        <f t="shared" si="23"/>
        <v>6635.64</v>
      </c>
      <c r="AU26" s="6">
        <f t="shared" si="24"/>
        <v>8635.64</v>
      </c>
    </row>
    <row r="27" spans="7:47" x14ac:dyDescent="0.3">
      <c r="G27" s="6">
        <f t="shared" si="25"/>
        <v>9995</v>
      </c>
      <c r="H27" s="6">
        <f t="shared" si="0"/>
        <v>11444.275</v>
      </c>
      <c r="I27" s="6">
        <f t="shared" si="1"/>
        <v>8695.65</v>
      </c>
      <c r="J27" s="6">
        <f t="shared" si="2"/>
        <v>2898.5499999999997</v>
      </c>
      <c r="K27" s="5">
        <f t="shared" si="3"/>
        <v>5697.15</v>
      </c>
      <c r="L27" s="6">
        <f t="shared" si="4"/>
        <v>7697.15</v>
      </c>
      <c r="Q27" s="6">
        <f t="shared" si="26"/>
        <v>9930</v>
      </c>
      <c r="R27" s="6">
        <f t="shared" si="5"/>
        <v>11369.85</v>
      </c>
      <c r="S27" s="6">
        <f t="shared" si="6"/>
        <v>8639.1</v>
      </c>
      <c r="T27" s="6">
        <f t="shared" si="7"/>
        <v>3276.9</v>
      </c>
      <c r="U27" s="5">
        <f t="shared" si="8"/>
        <v>6057.3</v>
      </c>
      <c r="V27" s="6">
        <f t="shared" si="9"/>
        <v>8057.3</v>
      </c>
      <c r="Y27" s="6">
        <f t="shared" si="27"/>
        <v>10055</v>
      </c>
      <c r="Z27" s="6">
        <f t="shared" si="10"/>
        <v>11512.975</v>
      </c>
      <c r="AA27" s="6">
        <f t="shared" si="11"/>
        <v>8747.85</v>
      </c>
      <c r="AB27" s="6">
        <f t="shared" si="12"/>
        <v>3318.15</v>
      </c>
      <c r="AC27" s="5">
        <f t="shared" si="13"/>
        <v>6133.55</v>
      </c>
      <c r="AD27" s="6">
        <f t="shared" si="14"/>
        <v>8133.55</v>
      </c>
      <c r="AH27" s="6">
        <f t="shared" si="28"/>
        <v>9930</v>
      </c>
      <c r="AI27" s="6">
        <f t="shared" si="15"/>
        <v>11369.85</v>
      </c>
      <c r="AJ27" s="6">
        <f t="shared" si="16"/>
        <v>8639.1</v>
      </c>
      <c r="AK27" s="6">
        <f t="shared" si="17"/>
        <v>3773.4</v>
      </c>
      <c r="AL27" s="5">
        <f t="shared" si="18"/>
        <v>6553.8</v>
      </c>
      <c r="AM27" s="6">
        <f t="shared" si="19"/>
        <v>8553.7999999999993</v>
      </c>
      <c r="AP27" s="6">
        <f t="shared" si="29"/>
        <v>10055</v>
      </c>
      <c r="AQ27" s="6">
        <f t="shared" si="20"/>
        <v>11512.975</v>
      </c>
      <c r="AR27" s="6">
        <f t="shared" si="21"/>
        <v>8747.85</v>
      </c>
      <c r="AS27" s="6">
        <f t="shared" si="22"/>
        <v>3820.9</v>
      </c>
      <c r="AT27" s="5">
        <f t="shared" si="23"/>
        <v>6636.3</v>
      </c>
      <c r="AU27" s="6">
        <f t="shared" si="24"/>
        <v>8636.2999999999993</v>
      </c>
    </row>
    <row r="28" spans="7:47" x14ac:dyDescent="0.3">
      <c r="G28" s="6">
        <f t="shared" si="25"/>
        <v>10000</v>
      </c>
      <c r="H28" s="6">
        <f t="shared" si="0"/>
        <v>11450</v>
      </c>
      <c r="I28" s="6">
        <f t="shared" si="1"/>
        <v>8700</v>
      </c>
      <c r="J28" s="6">
        <f t="shared" si="2"/>
        <v>2900</v>
      </c>
      <c r="K28" s="5">
        <f t="shared" si="3"/>
        <v>5699.9999999999991</v>
      </c>
      <c r="L28" s="6">
        <f t="shared" si="4"/>
        <v>7699.9999999999991</v>
      </c>
      <c r="Q28" s="6">
        <f t="shared" si="26"/>
        <v>9931</v>
      </c>
      <c r="R28" s="6">
        <f t="shared" si="5"/>
        <v>11370.995000000001</v>
      </c>
      <c r="S28" s="6">
        <f t="shared" si="6"/>
        <v>8639.9699999999993</v>
      </c>
      <c r="T28" s="6">
        <f t="shared" si="7"/>
        <v>3277.23</v>
      </c>
      <c r="U28" s="5">
        <f t="shared" si="8"/>
        <v>6057.91</v>
      </c>
      <c r="V28" s="6">
        <f t="shared" si="9"/>
        <v>8057.91</v>
      </c>
      <c r="Y28" s="6">
        <f t="shared" si="27"/>
        <v>10056</v>
      </c>
      <c r="Z28" s="6">
        <f t="shared" si="10"/>
        <v>11514.12</v>
      </c>
      <c r="AA28" s="6">
        <f t="shared" si="11"/>
        <v>8748.7199999999993</v>
      </c>
      <c r="AB28" s="6">
        <f t="shared" si="12"/>
        <v>3318.48</v>
      </c>
      <c r="AC28" s="5">
        <f t="shared" si="13"/>
        <v>6134.16</v>
      </c>
      <c r="AD28" s="6">
        <f t="shared" si="14"/>
        <v>8134.16</v>
      </c>
      <c r="AH28" s="6">
        <f t="shared" si="28"/>
        <v>9931</v>
      </c>
      <c r="AI28" s="6">
        <f t="shared" si="15"/>
        <v>11370.995000000001</v>
      </c>
      <c r="AJ28" s="6">
        <f t="shared" si="16"/>
        <v>8639.9699999999993</v>
      </c>
      <c r="AK28" s="6">
        <f t="shared" si="17"/>
        <v>3773.78</v>
      </c>
      <c r="AL28" s="5">
        <f t="shared" si="18"/>
        <v>6554.46</v>
      </c>
      <c r="AM28" s="6">
        <f t="shared" si="19"/>
        <v>8554.4599999999991</v>
      </c>
      <c r="AP28" s="6">
        <f t="shared" si="29"/>
        <v>10056</v>
      </c>
      <c r="AQ28" s="6">
        <f t="shared" si="20"/>
        <v>11514.12</v>
      </c>
      <c r="AR28" s="6">
        <f t="shared" si="21"/>
        <v>8748.7199999999993</v>
      </c>
      <c r="AS28" s="6">
        <f t="shared" si="22"/>
        <v>3821.28</v>
      </c>
      <c r="AT28" s="5">
        <f t="shared" si="23"/>
        <v>6636.96</v>
      </c>
      <c r="AU28" s="6">
        <f t="shared" si="24"/>
        <v>8636.9599999999991</v>
      </c>
    </row>
    <row r="29" spans="7:47" x14ac:dyDescent="0.3">
      <c r="G29" s="6">
        <f t="shared" si="25"/>
        <v>10005</v>
      </c>
      <c r="H29" s="6">
        <f t="shared" si="0"/>
        <v>11455.725</v>
      </c>
      <c r="I29" s="6">
        <f t="shared" si="1"/>
        <v>8704.35</v>
      </c>
      <c r="J29" s="6">
        <f t="shared" si="2"/>
        <v>2901.45</v>
      </c>
      <c r="K29" s="5">
        <f t="shared" si="3"/>
        <v>5702.8499999999995</v>
      </c>
      <c r="L29" s="6">
        <f t="shared" si="4"/>
        <v>7702.8499999999995</v>
      </c>
      <c r="Q29" s="6">
        <f t="shared" si="26"/>
        <v>9932</v>
      </c>
      <c r="R29" s="6">
        <f t="shared" si="5"/>
        <v>11372.14</v>
      </c>
      <c r="S29" s="6">
        <f t="shared" si="6"/>
        <v>8640.84</v>
      </c>
      <c r="T29" s="6">
        <f t="shared" si="7"/>
        <v>3277.56</v>
      </c>
      <c r="U29" s="5">
        <f t="shared" si="8"/>
        <v>6058.5199999999995</v>
      </c>
      <c r="V29" s="6">
        <f t="shared" si="9"/>
        <v>8058.5199999999995</v>
      </c>
      <c r="Y29" s="6">
        <f t="shared" si="27"/>
        <v>10057</v>
      </c>
      <c r="Z29" s="6">
        <f t="shared" si="10"/>
        <v>11515.264999999999</v>
      </c>
      <c r="AA29" s="6">
        <f t="shared" si="11"/>
        <v>8749.59</v>
      </c>
      <c r="AB29" s="6">
        <f t="shared" si="12"/>
        <v>3318.81</v>
      </c>
      <c r="AC29" s="5">
        <f t="shared" si="13"/>
        <v>6134.7699999999995</v>
      </c>
      <c r="AD29" s="6">
        <f t="shared" si="14"/>
        <v>8134.7699999999995</v>
      </c>
      <c r="AH29" s="6">
        <f t="shared" si="28"/>
        <v>9932</v>
      </c>
      <c r="AI29" s="6">
        <f t="shared" si="15"/>
        <v>11372.14</v>
      </c>
      <c r="AJ29" s="6">
        <f t="shared" si="16"/>
        <v>8640.84</v>
      </c>
      <c r="AK29" s="6">
        <f t="shared" si="17"/>
        <v>3774.16</v>
      </c>
      <c r="AL29" s="5">
        <f t="shared" si="18"/>
        <v>6555.12</v>
      </c>
      <c r="AM29" s="6">
        <f t="shared" si="19"/>
        <v>8555.119999999999</v>
      </c>
      <c r="AP29" s="6">
        <f t="shared" si="29"/>
        <v>10057</v>
      </c>
      <c r="AQ29" s="6">
        <f t="shared" si="20"/>
        <v>11515.264999999999</v>
      </c>
      <c r="AR29" s="6">
        <f t="shared" si="21"/>
        <v>8749.59</v>
      </c>
      <c r="AS29" s="6">
        <f t="shared" si="22"/>
        <v>3821.66</v>
      </c>
      <c r="AT29" s="5">
        <f t="shared" si="23"/>
        <v>6637.62</v>
      </c>
      <c r="AU29" s="6">
        <f t="shared" si="24"/>
        <v>8637.619999999999</v>
      </c>
    </row>
    <row r="30" spans="7:47" x14ac:dyDescent="0.3">
      <c r="G30" s="6">
        <f t="shared" si="25"/>
        <v>10010</v>
      </c>
      <c r="H30" s="6">
        <f t="shared" si="0"/>
        <v>11461.45</v>
      </c>
      <c r="I30" s="6">
        <f t="shared" si="1"/>
        <v>8708.7000000000007</v>
      </c>
      <c r="J30" s="6">
        <f t="shared" si="2"/>
        <v>2902.8999999999996</v>
      </c>
      <c r="K30" s="5">
        <f t="shared" si="3"/>
        <v>5705.7</v>
      </c>
      <c r="L30" s="6">
        <f t="shared" si="4"/>
        <v>7705.7</v>
      </c>
      <c r="Q30" s="6">
        <f t="shared" si="26"/>
        <v>9933</v>
      </c>
      <c r="R30" s="6">
        <f t="shared" si="5"/>
        <v>11373.285</v>
      </c>
      <c r="S30" s="6">
        <f t="shared" si="6"/>
        <v>8641.7099999999991</v>
      </c>
      <c r="T30" s="6">
        <f t="shared" si="7"/>
        <v>3277.8900000000003</v>
      </c>
      <c r="U30" s="5">
        <f t="shared" si="8"/>
        <v>6059.13</v>
      </c>
      <c r="V30" s="6">
        <f t="shared" si="9"/>
        <v>8059.13</v>
      </c>
      <c r="Y30" s="6">
        <f t="shared" si="27"/>
        <v>10058</v>
      </c>
      <c r="Z30" s="6">
        <f t="shared" si="10"/>
        <v>11516.41</v>
      </c>
      <c r="AA30" s="6">
        <f t="shared" si="11"/>
        <v>8750.4599999999991</v>
      </c>
      <c r="AB30" s="6">
        <f t="shared" si="12"/>
        <v>3319.1400000000003</v>
      </c>
      <c r="AC30" s="5">
        <f t="shared" si="13"/>
        <v>6135.38</v>
      </c>
      <c r="AD30" s="6">
        <f t="shared" si="14"/>
        <v>8135.38</v>
      </c>
      <c r="AH30" s="6">
        <f t="shared" si="28"/>
        <v>9933</v>
      </c>
      <c r="AI30" s="6">
        <f t="shared" si="15"/>
        <v>11373.285</v>
      </c>
      <c r="AJ30" s="6">
        <f t="shared" si="16"/>
        <v>8641.7099999999991</v>
      </c>
      <c r="AK30" s="6">
        <f t="shared" si="17"/>
        <v>3774.54</v>
      </c>
      <c r="AL30" s="5">
        <f t="shared" si="18"/>
        <v>6555.7800000000007</v>
      </c>
      <c r="AM30" s="6">
        <f t="shared" si="19"/>
        <v>8555.7800000000007</v>
      </c>
      <c r="AP30" s="6">
        <f t="shared" si="29"/>
        <v>10058</v>
      </c>
      <c r="AQ30" s="6">
        <f t="shared" si="20"/>
        <v>11516.41</v>
      </c>
      <c r="AR30" s="6">
        <f t="shared" si="21"/>
        <v>8750.4599999999991</v>
      </c>
      <c r="AS30" s="6">
        <f t="shared" si="22"/>
        <v>3822.04</v>
      </c>
      <c r="AT30" s="5">
        <f t="shared" si="23"/>
        <v>6638.2800000000007</v>
      </c>
      <c r="AU30" s="6">
        <f t="shared" si="24"/>
        <v>8638.2800000000007</v>
      </c>
    </row>
    <row r="31" spans="7:47" x14ac:dyDescent="0.3">
      <c r="G31" s="6">
        <f t="shared" si="25"/>
        <v>10015</v>
      </c>
      <c r="H31" s="6">
        <f t="shared" si="0"/>
        <v>11467.174999999999</v>
      </c>
      <c r="I31" s="6">
        <f t="shared" si="1"/>
        <v>8713.0499999999993</v>
      </c>
      <c r="J31" s="6">
        <f t="shared" si="2"/>
        <v>2904.35</v>
      </c>
      <c r="K31" s="5">
        <f t="shared" si="3"/>
        <v>5708.5499999999993</v>
      </c>
      <c r="L31" s="6">
        <f t="shared" si="4"/>
        <v>7708.5499999999993</v>
      </c>
      <c r="Q31" s="6">
        <f t="shared" si="26"/>
        <v>9934</v>
      </c>
      <c r="R31" s="6">
        <f t="shared" si="5"/>
        <v>11374.43</v>
      </c>
      <c r="S31" s="6">
        <f t="shared" si="6"/>
        <v>8642.58</v>
      </c>
      <c r="T31" s="6">
        <f t="shared" si="7"/>
        <v>3278.2200000000003</v>
      </c>
      <c r="U31" s="5">
        <f t="shared" si="8"/>
        <v>6059.74</v>
      </c>
      <c r="V31" s="6">
        <f t="shared" si="9"/>
        <v>8059.74</v>
      </c>
      <c r="Y31" s="6">
        <f t="shared" si="27"/>
        <v>10059</v>
      </c>
      <c r="Z31" s="6">
        <f t="shared" si="10"/>
        <v>11517.555</v>
      </c>
      <c r="AA31" s="6">
        <f t="shared" si="11"/>
        <v>8751.33</v>
      </c>
      <c r="AB31" s="6">
        <f t="shared" si="12"/>
        <v>3319.4700000000003</v>
      </c>
      <c r="AC31" s="5">
        <f t="shared" si="13"/>
        <v>6135.99</v>
      </c>
      <c r="AD31" s="6">
        <f t="shared" si="14"/>
        <v>8135.99</v>
      </c>
      <c r="AH31" s="6">
        <f t="shared" si="28"/>
        <v>9934</v>
      </c>
      <c r="AI31" s="6">
        <f t="shared" si="15"/>
        <v>11374.43</v>
      </c>
      <c r="AJ31" s="6">
        <f t="shared" si="16"/>
        <v>8642.58</v>
      </c>
      <c r="AK31" s="6">
        <f t="shared" si="17"/>
        <v>3774.92</v>
      </c>
      <c r="AL31" s="5">
        <f t="shared" si="18"/>
        <v>6556.4400000000005</v>
      </c>
      <c r="AM31" s="6">
        <f t="shared" si="19"/>
        <v>8556.44</v>
      </c>
      <c r="AP31" s="6">
        <f t="shared" si="29"/>
        <v>10059</v>
      </c>
      <c r="AQ31" s="6">
        <f t="shared" si="20"/>
        <v>11517.555</v>
      </c>
      <c r="AR31" s="6">
        <f t="shared" si="21"/>
        <v>8751.33</v>
      </c>
      <c r="AS31" s="6">
        <f t="shared" si="22"/>
        <v>3822.42</v>
      </c>
      <c r="AT31" s="5">
        <f t="shared" si="23"/>
        <v>6638.9400000000005</v>
      </c>
      <c r="AU31" s="6">
        <f t="shared" si="24"/>
        <v>8638.94</v>
      </c>
    </row>
    <row r="32" spans="7:47" x14ac:dyDescent="0.3">
      <c r="G32" s="6">
        <f t="shared" si="25"/>
        <v>10020</v>
      </c>
      <c r="H32" s="6">
        <f t="shared" si="0"/>
        <v>11472.9</v>
      </c>
      <c r="I32" s="6">
        <f t="shared" si="1"/>
        <v>8717.4</v>
      </c>
      <c r="J32" s="6">
        <f t="shared" si="2"/>
        <v>2905.7999999999997</v>
      </c>
      <c r="K32" s="5">
        <f t="shared" si="3"/>
        <v>5711.4</v>
      </c>
      <c r="L32" s="6">
        <f t="shared" si="4"/>
        <v>7711.4</v>
      </c>
      <c r="Q32" s="6">
        <f t="shared" si="26"/>
        <v>9935</v>
      </c>
      <c r="R32" s="6">
        <f t="shared" si="5"/>
        <v>11375.575000000001</v>
      </c>
      <c r="S32" s="6">
        <f t="shared" si="6"/>
        <v>8643.4500000000007</v>
      </c>
      <c r="T32" s="6">
        <f t="shared" si="7"/>
        <v>3278.55</v>
      </c>
      <c r="U32" s="5">
        <f t="shared" si="8"/>
        <v>6060.3499999999995</v>
      </c>
      <c r="V32" s="6">
        <f t="shared" si="9"/>
        <v>8060.3499999999995</v>
      </c>
      <c r="Y32" s="6">
        <f t="shared" si="27"/>
        <v>10060</v>
      </c>
      <c r="Z32" s="6">
        <f t="shared" si="10"/>
        <v>11518.7</v>
      </c>
      <c r="AA32" s="6">
        <f t="shared" si="11"/>
        <v>8752.2000000000007</v>
      </c>
      <c r="AB32" s="6">
        <f t="shared" si="12"/>
        <v>3319.8</v>
      </c>
      <c r="AC32" s="5">
        <f t="shared" si="13"/>
        <v>6136.5999999999995</v>
      </c>
      <c r="AD32" s="6">
        <f t="shared" si="14"/>
        <v>8136.5999999999995</v>
      </c>
      <c r="AH32" s="6">
        <f t="shared" si="28"/>
        <v>9935</v>
      </c>
      <c r="AI32" s="6">
        <f t="shared" si="15"/>
        <v>11375.575000000001</v>
      </c>
      <c r="AJ32" s="6">
        <f t="shared" si="16"/>
        <v>8643.4500000000007</v>
      </c>
      <c r="AK32" s="6">
        <f t="shared" si="17"/>
        <v>3775.3</v>
      </c>
      <c r="AL32" s="5">
        <f t="shared" si="18"/>
        <v>6557.1</v>
      </c>
      <c r="AM32" s="6">
        <f t="shared" si="19"/>
        <v>8557.1</v>
      </c>
      <c r="AP32" s="6">
        <f t="shared" si="29"/>
        <v>10060</v>
      </c>
      <c r="AQ32" s="6">
        <f t="shared" si="20"/>
        <v>11518.7</v>
      </c>
      <c r="AR32" s="6">
        <f t="shared" si="21"/>
        <v>8752.2000000000007</v>
      </c>
      <c r="AS32" s="6">
        <f t="shared" si="22"/>
        <v>3822.8</v>
      </c>
      <c r="AT32" s="5">
        <f t="shared" si="23"/>
        <v>6639.6</v>
      </c>
      <c r="AU32" s="6">
        <f t="shared" si="24"/>
        <v>8639.6</v>
      </c>
    </row>
    <row r="33" spans="7:47" x14ac:dyDescent="0.3">
      <c r="G33" s="6">
        <f t="shared" si="25"/>
        <v>10025</v>
      </c>
      <c r="H33" s="6">
        <f t="shared" si="0"/>
        <v>11478.625</v>
      </c>
      <c r="I33" s="6">
        <f t="shared" si="1"/>
        <v>8721.75</v>
      </c>
      <c r="J33" s="6">
        <f t="shared" si="2"/>
        <v>2907.25</v>
      </c>
      <c r="K33" s="5">
        <f t="shared" si="3"/>
        <v>5714.2499999999991</v>
      </c>
      <c r="L33" s="6">
        <f t="shared" si="4"/>
        <v>7714.2499999999991</v>
      </c>
      <c r="Q33" s="6">
        <f t="shared" si="26"/>
        <v>9936</v>
      </c>
      <c r="R33" s="6">
        <f t="shared" si="5"/>
        <v>11376.72</v>
      </c>
      <c r="S33" s="6">
        <f t="shared" si="6"/>
        <v>8644.32</v>
      </c>
      <c r="T33" s="6">
        <f t="shared" si="7"/>
        <v>3278.88</v>
      </c>
      <c r="U33" s="5">
        <f t="shared" si="8"/>
        <v>6060.96</v>
      </c>
      <c r="V33" s="6">
        <f t="shared" si="9"/>
        <v>8060.96</v>
      </c>
      <c r="Y33" s="6">
        <f t="shared" si="27"/>
        <v>10061</v>
      </c>
      <c r="Z33" s="6">
        <f t="shared" si="10"/>
        <v>11519.844999999999</v>
      </c>
      <c r="AA33" s="6">
        <f t="shared" si="11"/>
        <v>8753.07</v>
      </c>
      <c r="AB33" s="6">
        <f t="shared" si="12"/>
        <v>3320.13</v>
      </c>
      <c r="AC33" s="5">
        <f t="shared" si="13"/>
        <v>6137.21</v>
      </c>
      <c r="AD33" s="6">
        <f t="shared" si="14"/>
        <v>8137.21</v>
      </c>
      <c r="AH33" s="6">
        <f t="shared" si="28"/>
        <v>9936</v>
      </c>
      <c r="AI33" s="6">
        <f t="shared" si="15"/>
        <v>11376.72</v>
      </c>
      <c r="AJ33" s="6">
        <f t="shared" si="16"/>
        <v>8644.32</v>
      </c>
      <c r="AK33" s="6">
        <f t="shared" si="17"/>
        <v>3775.68</v>
      </c>
      <c r="AL33" s="5">
        <f t="shared" si="18"/>
        <v>6557.76</v>
      </c>
      <c r="AM33" s="6">
        <f t="shared" si="19"/>
        <v>8557.76</v>
      </c>
      <c r="AP33" s="6">
        <f t="shared" si="29"/>
        <v>10061</v>
      </c>
      <c r="AQ33" s="6">
        <f t="shared" si="20"/>
        <v>11519.844999999999</v>
      </c>
      <c r="AR33" s="6">
        <f t="shared" si="21"/>
        <v>8753.07</v>
      </c>
      <c r="AS33" s="6">
        <f t="shared" si="22"/>
        <v>3823.18</v>
      </c>
      <c r="AT33" s="5">
        <f t="shared" si="23"/>
        <v>6640.26</v>
      </c>
      <c r="AU33" s="6">
        <f t="shared" si="24"/>
        <v>8640.26</v>
      </c>
    </row>
    <row r="34" spans="7:47" x14ac:dyDescent="0.3">
      <c r="G34" s="6">
        <f t="shared" si="25"/>
        <v>10030</v>
      </c>
      <c r="H34" s="6">
        <f t="shared" si="0"/>
        <v>11484.35</v>
      </c>
      <c r="I34" s="6">
        <f t="shared" si="1"/>
        <v>8726.1</v>
      </c>
      <c r="J34" s="6">
        <f t="shared" si="2"/>
        <v>2908.7</v>
      </c>
      <c r="K34" s="5">
        <f t="shared" si="3"/>
        <v>5717.0999999999995</v>
      </c>
      <c r="L34" s="6">
        <f t="shared" si="4"/>
        <v>7717.0999999999995</v>
      </c>
      <c r="Q34" s="6">
        <f t="shared" si="26"/>
        <v>9937</v>
      </c>
      <c r="R34" s="6">
        <f t="shared" si="5"/>
        <v>11377.865</v>
      </c>
      <c r="S34" s="6">
        <f t="shared" si="6"/>
        <v>8645.19</v>
      </c>
      <c r="T34" s="6">
        <f t="shared" si="7"/>
        <v>3279.21</v>
      </c>
      <c r="U34" s="5">
        <f t="shared" si="8"/>
        <v>6061.57</v>
      </c>
      <c r="V34" s="6">
        <f t="shared" si="9"/>
        <v>8061.57</v>
      </c>
      <c r="Y34" s="6">
        <f t="shared" si="27"/>
        <v>10062</v>
      </c>
      <c r="Z34" s="6">
        <f t="shared" si="10"/>
        <v>11520.99</v>
      </c>
      <c r="AA34" s="6">
        <f t="shared" si="11"/>
        <v>8753.94</v>
      </c>
      <c r="AB34" s="6">
        <f t="shared" si="12"/>
        <v>3320.46</v>
      </c>
      <c r="AC34" s="5">
        <f t="shared" si="13"/>
        <v>6137.82</v>
      </c>
      <c r="AD34" s="6">
        <f t="shared" si="14"/>
        <v>8137.82</v>
      </c>
      <c r="AH34" s="6">
        <f t="shared" si="28"/>
        <v>9937</v>
      </c>
      <c r="AI34" s="6">
        <f t="shared" si="15"/>
        <v>11377.865</v>
      </c>
      <c r="AJ34" s="6">
        <f t="shared" si="16"/>
        <v>8645.19</v>
      </c>
      <c r="AK34" s="6">
        <f t="shared" si="17"/>
        <v>3776.06</v>
      </c>
      <c r="AL34" s="5">
        <f t="shared" si="18"/>
        <v>6558.42</v>
      </c>
      <c r="AM34" s="6">
        <f t="shared" si="19"/>
        <v>8558.42</v>
      </c>
      <c r="AP34" s="6">
        <f t="shared" si="29"/>
        <v>10062</v>
      </c>
      <c r="AQ34" s="6">
        <f t="shared" si="20"/>
        <v>11520.99</v>
      </c>
      <c r="AR34" s="6">
        <f t="shared" si="21"/>
        <v>8753.94</v>
      </c>
      <c r="AS34" s="6">
        <f t="shared" si="22"/>
        <v>3823.56</v>
      </c>
      <c r="AT34" s="5">
        <f t="shared" si="23"/>
        <v>6640.92</v>
      </c>
      <c r="AU34" s="6">
        <f t="shared" si="24"/>
        <v>8640.92</v>
      </c>
    </row>
    <row r="35" spans="7:47" x14ac:dyDescent="0.3">
      <c r="G35" s="6">
        <f t="shared" si="25"/>
        <v>10035</v>
      </c>
      <c r="H35" s="6">
        <f t="shared" si="0"/>
        <v>11490.075000000001</v>
      </c>
      <c r="I35" s="6">
        <f t="shared" si="1"/>
        <v>8730.4500000000007</v>
      </c>
      <c r="J35" s="6">
        <f t="shared" si="2"/>
        <v>2910.1499999999996</v>
      </c>
      <c r="K35" s="5">
        <f t="shared" si="3"/>
        <v>5719.95</v>
      </c>
      <c r="L35" s="6">
        <f t="shared" si="4"/>
        <v>7719.95</v>
      </c>
      <c r="Q35" s="6">
        <f t="shared" si="26"/>
        <v>9938</v>
      </c>
      <c r="R35" s="6">
        <f t="shared" si="5"/>
        <v>11379.01</v>
      </c>
      <c r="S35" s="6">
        <f t="shared" si="6"/>
        <v>8646.06</v>
      </c>
      <c r="T35" s="6">
        <f t="shared" si="7"/>
        <v>3279.54</v>
      </c>
      <c r="U35" s="5">
        <f t="shared" si="8"/>
        <v>6062.18</v>
      </c>
      <c r="V35" s="6">
        <f t="shared" si="9"/>
        <v>8062.18</v>
      </c>
      <c r="Y35" s="6">
        <f t="shared" si="27"/>
        <v>10063</v>
      </c>
      <c r="Z35" s="6">
        <f t="shared" si="10"/>
        <v>11522.135</v>
      </c>
      <c r="AA35" s="6">
        <f t="shared" si="11"/>
        <v>8754.81</v>
      </c>
      <c r="AB35" s="6">
        <f t="shared" si="12"/>
        <v>3320.79</v>
      </c>
      <c r="AC35" s="5">
        <f t="shared" si="13"/>
        <v>6138.43</v>
      </c>
      <c r="AD35" s="6">
        <f t="shared" si="14"/>
        <v>8138.43</v>
      </c>
      <c r="AH35" s="6">
        <f t="shared" si="28"/>
        <v>9938</v>
      </c>
      <c r="AI35" s="6">
        <f t="shared" si="15"/>
        <v>11379.01</v>
      </c>
      <c r="AJ35" s="6">
        <f t="shared" si="16"/>
        <v>8646.06</v>
      </c>
      <c r="AK35" s="6">
        <f t="shared" si="17"/>
        <v>3776.44</v>
      </c>
      <c r="AL35" s="5">
        <f t="shared" si="18"/>
        <v>6559.08</v>
      </c>
      <c r="AM35" s="6">
        <f t="shared" si="19"/>
        <v>8559.08</v>
      </c>
      <c r="AP35" s="6">
        <f t="shared" si="29"/>
        <v>10063</v>
      </c>
      <c r="AQ35" s="6">
        <f t="shared" si="20"/>
        <v>11522.135</v>
      </c>
      <c r="AR35" s="6">
        <f t="shared" si="21"/>
        <v>8754.81</v>
      </c>
      <c r="AS35" s="6">
        <f t="shared" si="22"/>
        <v>3823.94</v>
      </c>
      <c r="AT35" s="5">
        <f t="shared" si="23"/>
        <v>6641.58</v>
      </c>
      <c r="AU35" s="6">
        <f t="shared" si="24"/>
        <v>8641.58</v>
      </c>
    </row>
    <row r="36" spans="7:47" x14ac:dyDescent="0.3">
      <c r="G36" s="6">
        <f t="shared" si="25"/>
        <v>10040</v>
      </c>
      <c r="H36" s="6">
        <f t="shared" si="0"/>
        <v>11495.8</v>
      </c>
      <c r="I36" s="6">
        <f t="shared" si="1"/>
        <v>8734.7999999999993</v>
      </c>
      <c r="J36" s="6">
        <f t="shared" si="2"/>
        <v>2911.6</v>
      </c>
      <c r="K36" s="5">
        <f t="shared" si="3"/>
        <v>5722.7999999999993</v>
      </c>
      <c r="L36" s="6">
        <f t="shared" si="4"/>
        <v>7722.7999999999993</v>
      </c>
      <c r="Q36" s="6">
        <f t="shared" si="26"/>
        <v>9939</v>
      </c>
      <c r="R36" s="6">
        <f t="shared" si="5"/>
        <v>11380.155000000001</v>
      </c>
      <c r="S36" s="6">
        <f t="shared" si="6"/>
        <v>8646.93</v>
      </c>
      <c r="T36" s="6">
        <f t="shared" si="7"/>
        <v>3279.8700000000003</v>
      </c>
      <c r="U36" s="5">
        <f t="shared" si="8"/>
        <v>6062.79</v>
      </c>
      <c r="V36" s="6">
        <f t="shared" si="9"/>
        <v>8062.79</v>
      </c>
      <c r="Y36" s="6">
        <f t="shared" si="27"/>
        <v>10064</v>
      </c>
      <c r="Z36" s="6">
        <f t="shared" si="10"/>
        <v>11523.28</v>
      </c>
      <c r="AA36" s="6">
        <f t="shared" si="11"/>
        <v>8755.68</v>
      </c>
      <c r="AB36" s="6">
        <f t="shared" si="12"/>
        <v>3321.1200000000003</v>
      </c>
      <c r="AC36" s="5">
        <f t="shared" si="13"/>
        <v>6139.04</v>
      </c>
      <c r="AD36" s="6">
        <f t="shared" si="14"/>
        <v>8139.04</v>
      </c>
      <c r="AH36" s="6">
        <f t="shared" si="28"/>
        <v>9939</v>
      </c>
      <c r="AI36" s="6">
        <f t="shared" si="15"/>
        <v>11380.155000000001</v>
      </c>
      <c r="AJ36" s="6">
        <f t="shared" si="16"/>
        <v>8646.93</v>
      </c>
      <c r="AK36" s="6">
        <f t="shared" si="17"/>
        <v>3776.82</v>
      </c>
      <c r="AL36" s="5">
        <f t="shared" si="18"/>
        <v>6559.7400000000007</v>
      </c>
      <c r="AM36" s="6">
        <f t="shared" si="19"/>
        <v>8559.7400000000016</v>
      </c>
      <c r="AP36" s="6">
        <f t="shared" si="29"/>
        <v>10064</v>
      </c>
      <c r="AQ36" s="6">
        <f t="shared" si="20"/>
        <v>11523.28</v>
      </c>
      <c r="AR36" s="6">
        <f t="shared" si="21"/>
        <v>8755.68</v>
      </c>
      <c r="AS36" s="6">
        <f t="shared" si="22"/>
        <v>3824.32</v>
      </c>
      <c r="AT36" s="5">
        <f t="shared" si="23"/>
        <v>6642.2400000000007</v>
      </c>
      <c r="AU36" s="6">
        <f t="shared" si="24"/>
        <v>8642.2400000000016</v>
      </c>
    </row>
    <row r="37" spans="7:47" x14ac:dyDescent="0.3">
      <c r="G37" s="6">
        <f t="shared" si="25"/>
        <v>10045</v>
      </c>
      <c r="H37" s="6">
        <f t="shared" si="0"/>
        <v>11501.525</v>
      </c>
      <c r="I37" s="6">
        <f t="shared" si="1"/>
        <v>8739.15</v>
      </c>
      <c r="J37" s="6">
        <f t="shared" si="2"/>
        <v>2913.0499999999997</v>
      </c>
      <c r="K37" s="5">
        <f t="shared" si="3"/>
        <v>5725.65</v>
      </c>
      <c r="L37" s="6">
        <f t="shared" si="4"/>
        <v>7725.65</v>
      </c>
      <c r="Q37" s="6">
        <f t="shared" si="26"/>
        <v>9940</v>
      </c>
      <c r="R37" s="6">
        <f t="shared" si="5"/>
        <v>11381.3</v>
      </c>
      <c r="S37" s="6">
        <f t="shared" si="6"/>
        <v>8647.7999999999993</v>
      </c>
      <c r="T37" s="6">
        <f t="shared" si="7"/>
        <v>3280.2000000000003</v>
      </c>
      <c r="U37" s="5">
        <f t="shared" si="8"/>
        <v>6063.4</v>
      </c>
      <c r="V37" s="6">
        <f t="shared" si="9"/>
        <v>8063.4</v>
      </c>
      <c r="Y37" s="6">
        <f t="shared" si="27"/>
        <v>10065</v>
      </c>
      <c r="Z37" s="6">
        <f t="shared" si="10"/>
        <v>11524.424999999999</v>
      </c>
      <c r="AA37" s="6">
        <f t="shared" si="11"/>
        <v>8756.5499999999993</v>
      </c>
      <c r="AB37" s="6">
        <f t="shared" si="12"/>
        <v>3321.4500000000003</v>
      </c>
      <c r="AC37" s="5">
        <f t="shared" si="13"/>
        <v>6139.65</v>
      </c>
      <c r="AD37" s="6">
        <f t="shared" si="14"/>
        <v>8139.65</v>
      </c>
      <c r="AH37" s="6">
        <f t="shared" si="28"/>
        <v>9940</v>
      </c>
      <c r="AI37" s="6">
        <f t="shared" si="15"/>
        <v>11381.3</v>
      </c>
      <c r="AJ37" s="6">
        <f t="shared" si="16"/>
        <v>8647.7999999999993</v>
      </c>
      <c r="AK37" s="6">
        <f t="shared" si="17"/>
        <v>3777.2</v>
      </c>
      <c r="AL37" s="5">
        <f t="shared" si="18"/>
        <v>6560.4000000000005</v>
      </c>
      <c r="AM37" s="6">
        <f t="shared" si="19"/>
        <v>8560.4000000000015</v>
      </c>
      <c r="AP37" s="6">
        <f t="shared" si="29"/>
        <v>10065</v>
      </c>
      <c r="AQ37" s="6">
        <f t="shared" si="20"/>
        <v>11524.424999999999</v>
      </c>
      <c r="AR37" s="6">
        <f t="shared" si="21"/>
        <v>8756.5499999999993</v>
      </c>
      <c r="AS37" s="6">
        <f t="shared" si="22"/>
        <v>3824.7</v>
      </c>
      <c r="AT37" s="5">
        <f t="shared" si="23"/>
        <v>6642.9000000000005</v>
      </c>
      <c r="AU37" s="6">
        <f t="shared" si="24"/>
        <v>8642.9000000000015</v>
      </c>
    </row>
    <row r="38" spans="7:47" x14ac:dyDescent="0.3">
      <c r="G38" s="6">
        <f t="shared" si="25"/>
        <v>10050</v>
      </c>
      <c r="H38" s="6">
        <f t="shared" si="0"/>
        <v>11507.25</v>
      </c>
      <c r="I38" s="6">
        <f t="shared" si="1"/>
        <v>8743.5</v>
      </c>
      <c r="J38" s="6">
        <f t="shared" si="2"/>
        <v>2914.5</v>
      </c>
      <c r="K38" s="5">
        <f t="shared" si="3"/>
        <v>5728.4999999999991</v>
      </c>
      <c r="L38" s="6">
        <f t="shared" si="4"/>
        <v>7728.4999999999991</v>
      </c>
      <c r="Q38" s="6">
        <f t="shared" si="26"/>
        <v>9941</v>
      </c>
      <c r="R38" s="6">
        <f t="shared" si="5"/>
        <v>11382.445</v>
      </c>
      <c r="S38" s="6">
        <f t="shared" si="6"/>
        <v>8648.67</v>
      </c>
      <c r="T38" s="6">
        <f t="shared" si="7"/>
        <v>3280.53</v>
      </c>
      <c r="U38" s="5">
        <f t="shared" si="8"/>
        <v>6064.01</v>
      </c>
      <c r="V38" s="6">
        <f t="shared" si="9"/>
        <v>8064.01</v>
      </c>
      <c r="Y38" s="6">
        <f t="shared" si="27"/>
        <v>10066</v>
      </c>
      <c r="Z38" s="6">
        <f t="shared" si="10"/>
        <v>11525.57</v>
      </c>
      <c r="AA38" s="6">
        <f t="shared" si="11"/>
        <v>8757.42</v>
      </c>
      <c r="AB38" s="6">
        <f t="shared" si="12"/>
        <v>3321.78</v>
      </c>
      <c r="AC38" s="5">
        <f t="shared" si="13"/>
        <v>6140.26</v>
      </c>
      <c r="AD38" s="6">
        <f t="shared" si="14"/>
        <v>8140.26</v>
      </c>
      <c r="AH38" s="6">
        <f t="shared" si="28"/>
        <v>9941</v>
      </c>
      <c r="AI38" s="6">
        <f t="shared" si="15"/>
        <v>11382.445</v>
      </c>
      <c r="AJ38" s="6">
        <f t="shared" si="16"/>
        <v>8648.67</v>
      </c>
      <c r="AK38" s="6">
        <f t="shared" si="17"/>
        <v>3777.58</v>
      </c>
      <c r="AL38" s="5">
        <f t="shared" si="18"/>
        <v>6561.06</v>
      </c>
      <c r="AM38" s="6">
        <f t="shared" si="19"/>
        <v>8561.0600000000013</v>
      </c>
      <c r="AP38" s="6">
        <f t="shared" si="29"/>
        <v>10066</v>
      </c>
      <c r="AQ38" s="6">
        <f t="shared" si="20"/>
        <v>11525.57</v>
      </c>
      <c r="AR38" s="6">
        <f t="shared" si="21"/>
        <v>8757.42</v>
      </c>
      <c r="AS38" s="6">
        <f t="shared" si="22"/>
        <v>3825.08</v>
      </c>
      <c r="AT38" s="5">
        <f t="shared" si="23"/>
        <v>6643.56</v>
      </c>
      <c r="AU38" s="6">
        <f t="shared" si="24"/>
        <v>8643.5600000000013</v>
      </c>
    </row>
    <row r="39" spans="7:47" x14ac:dyDescent="0.3">
      <c r="G39" s="6">
        <f t="shared" si="25"/>
        <v>10055</v>
      </c>
      <c r="H39" s="6">
        <f t="shared" si="0"/>
        <v>11512.975</v>
      </c>
      <c r="I39" s="6">
        <f t="shared" si="1"/>
        <v>8747.85</v>
      </c>
      <c r="J39" s="6">
        <f t="shared" si="2"/>
        <v>2915.95</v>
      </c>
      <c r="K39" s="5">
        <f t="shared" si="3"/>
        <v>5731.3499999999995</v>
      </c>
      <c r="L39" s="6">
        <f t="shared" si="4"/>
        <v>7731.3499999999995</v>
      </c>
      <c r="Q39" s="6">
        <f t="shared" si="26"/>
        <v>9942</v>
      </c>
      <c r="R39" s="6">
        <f t="shared" si="5"/>
        <v>11383.59</v>
      </c>
      <c r="S39" s="6">
        <f t="shared" si="6"/>
        <v>8649.5399999999991</v>
      </c>
      <c r="T39" s="6">
        <f t="shared" si="7"/>
        <v>3280.86</v>
      </c>
      <c r="U39" s="5">
        <f t="shared" si="8"/>
        <v>6064.62</v>
      </c>
      <c r="V39" s="6">
        <f t="shared" si="9"/>
        <v>8064.62</v>
      </c>
      <c r="Y39" s="6">
        <f t="shared" si="27"/>
        <v>10067</v>
      </c>
      <c r="Z39" s="6">
        <f t="shared" si="10"/>
        <v>11526.715</v>
      </c>
      <c r="AA39" s="6">
        <f t="shared" si="11"/>
        <v>8758.2899999999991</v>
      </c>
      <c r="AB39" s="6">
        <f t="shared" si="12"/>
        <v>3322.11</v>
      </c>
      <c r="AC39" s="5">
        <f t="shared" si="13"/>
        <v>6140.87</v>
      </c>
      <c r="AD39" s="6">
        <f t="shared" si="14"/>
        <v>8140.87</v>
      </c>
      <c r="AH39" s="6">
        <f t="shared" si="28"/>
        <v>9942</v>
      </c>
      <c r="AI39" s="6">
        <f t="shared" si="15"/>
        <v>11383.59</v>
      </c>
      <c r="AJ39" s="6">
        <f t="shared" si="16"/>
        <v>8649.5399999999991</v>
      </c>
      <c r="AK39" s="6">
        <f t="shared" si="17"/>
        <v>3777.96</v>
      </c>
      <c r="AL39" s="5">
        <f t="shared" si="18"/>
        <v>6561.72</v>
      </c>
      <c r="AM39" s="6">
        <f t="shared" si="19"/>
        <v>8561.7200000000012</v>
      </c>
      <c r="AP39" s="6">
        <f t="shared" si="29"/>
        <v>10067</v>
      </c>
      <c r="AQ39" s="6">
        <f t="shared" si="20"/>
        <v>11526.715</v>
      </c>
      <c r="AR39" s="6">
        <f t="shared" si="21"/>
        <v>8758.2899999999991</v>
      </c>
      <c r="AS39" s="6">
        <f t="shared" si="22"/>
        <v>3825.46</v>
      </c>
      <c r="AT39" s="5">
        <f t="shared" si="23"/>
        <v>6644.22</v>
      </c>
      <c r="AU39" s="6">
        <f t="shared" si="24"/>
        <v>8644.2200000000012</v>
      </c>
    </row>
    <row r="40" spans="7:47" x14ac:dyDescent="0.3">
      <c r="G40" s="6">
        <f t="shared" si="25"/>
        <v>10060</v>
      </c>
      <c r="H40" s="6">
        <f t="shared" si="0"/>
        <v>11518.7</v>
      </c>
      <c r="I40" s="6">
        <f t="shared" si="1"/>
        <v>8752.2000000000007</v>
      </c>
      <c r="J40" s="6">
        <f t="shared" si="2"/>
        <v>2917.3999999999996</v>
      </c>
      <c r="K40" s="5">
        <f t="shared" si="3"/>
        <v>5734.2</v>
      </c>
      <c r="L40" s="6">
        <f t="shared" si="4"/>
        <v>7734.2</v>
      </c>
      <c r="Q40" s="6">
        <f t="shared" si="26"/>
        <v>9943</v>
      </c>
      <c r="R40" s="6">
        <f t="shared" si="5"/>
        <v>11384.735000000001</v>
      </c>
      <c r="S40" s="6">
        <f t="shared" si="6"/>
        <v>8650.41</v>
      </c>
      <c r="T40" s="6">
        <f t="shared" si="7"/>
        <v>3281.19</v>
      </c>
      <c r="U40" s="5">
        <f t="shared" si="8"/>
        <v>6065.23</v>
      </c>
      <c r="V40" s="6">
        <f t="shared" si="9"/>
        <v>8065.23</v>
      </c>
      <c r="Y40" s="6">
        <f t="shared" si="27"/>
        <v>10068</v>
      </c>
      <c r="Z40" s="6">
        <f t="shared" si="10"/>
        <v>11527.86</v>
      </c>
      <c r="AA40" s="6">
        <f t="shared" si="11"/>
        <v>8759.16</v>
      </c>
      <c r="AB40" s="6">
        <f t="shared" si="12"/>
        <v>3322.44</v>
      </c>
      <c r="AC40" s="5">
        <f t="shared" si="13"/>
        <v>6141.48</v>
      </c>
      <c r="AD40" s="6">
        <f t="shared" si="14"/>
        <v>8141.48</v>
      </c>
      <c r="AH40" s="6">
        <f t="shared" si="28"/>
        <v>9943</v>
      </c>
      <c r="AI40" s="6">
        <f t="shared" si="15"/>
        <v>11384.735000000001</v>
      </c>
      <c r="AJ40" s="6">
        <f t="shared" si="16"/>
        <v>8650.41</v>
      </c>
      <c r="AK40" s="6">
        <f t="shared" si="17"/>
        <v>3778.34</v>
      </c>
      <c r="AL40" s="5">
        <f t="shared" si="18"/>
        <v>6562.38</v>
      </c>
      <c r="AM40" s="6">
        <f t="shared" si="19"/>
        <v>8562.380000000001</v>
      </c>
      <c r="AP40" s="6">
        <f t="shared" si="29"/>
        <v>10068</v>
      </c>
      <c r="AQ40" s="6">
        <f t="shared" si="20"/>
        <v>11527.86</v>
      </c>
      <c r="AR40" s="6">
        <f t="shared" si="21"/>
        <v>8759.16</v>
      </c>
      <c r="AS40" s="6">
        <f t="shared" si="22"/>
        <v>3825.84</v>
      </c>
      <c r="AT40" s="5">
        <f t="shared" si="23"/>
        <v>6644.88</v>
      </c>
      <c r="AU40" s="6">
        <f t="shared" si="24"/>
        <v>8644.880000000001</v>
      </c>
    </row>
    <row r="41" spans="7:47" x14ac:dyDescent="0.3">
      <c r="G41" s="6">
        <f t="shared" si="25"/>
        <v>10065</v>
      </c>
      <c r="H41" s="6">
        <f t="shared" si="0"/>
        <v>11524.424999999999</v>
      </c>
      <c r="I41" s="6">
        <f t="shared" si="1"/>
        <v>8756.5499999999993</v>
      </c>
      <c r="J41" s="6">
        <f t="shared" si="2"/>
        <v>2918.85</v>
      </c>
      <c r="K41" s="5">
        <f t="shared" si="3"/>
        <v>5737.0499999999993</v>
      </c>
      <c r="L41" s="6">
        <f t="shared" si="4"/>
        <v>7737.0499999999993</v>
      </c>
      <c r="Q41" s="6">
        <f t="shared" si="26"/>
        <v>9944</v>
      </c>
      <c r="R41" s="6">
        <f t="shared" si="5"/>
        <v>11385.880000000001</v>
      </c>
      <c r="S41" s="6">
        <f t="shared" si="6"/>
        <v>8651.2800000000007</v>
      </c>
      <c r="T41" s="6">
        <f t="shared" si="7"/>
        <v>3281.52</v>
      </c>
      <c r="U41" s="5">
        <f t="shared" si="8"/>
        <v>6065.84</v>
      </c>
      <c r="V41" s="6">
        <f t="shared" si="9"/>
        <v>8065.84</v>
      </c>
      <c r="Y41" s="6">
        <f t="shared" si="27"/>
        <v>10069</v>
      </c>
      <c r="Z41" s="6">
        <f t="shared" si="10"/>
        <v>11529.005000000001</v>
      </c>
      <c r="AA41" s="6">
        <f t="shared" si="11"/>
        <v>8760.0300000000007</v>
      </c>
      <c r="AB41" s="6">
        <f t="shared" si="12"/>
        <v>3322.77</v>
      </c>
      <c r="AC41" s="5">
        <f t="shared" si="13"/>
        <v>6142.09</v>
      </c>
      <c r="AD41" s="6">
        <f t="shared" si="14"/>
        <v>8142.09</v>
      </c>
      <c r="AH41" s="6">
        <f t="shared" si="28"/>
        <v>9944</v>
      </c>
      <c r="AI41" s="6">
        <f t="shared" si="15"/>
        <v>11385.880000000001</v>
      </c>
      <c r="AJ41" s="6">
        <f t="shared" si="16"/>
        <v>8651.2800000000007</v>
      </c>
      <c r="AK41" s="6">
        <f t="shared" si="17"/>
        <v>3778.7200000000003</v>
      </c>
      <c r="AL41" s="5">
        <f t="shared" si="18"/>
        <v>6563.04</v>
      </c>
      <c r="AM41" s="6">
        <f t="shared" si="19"/>
        <v>8563.0400000000009</v>
      </c>
      <c r="AP41" s="6">
        <f t="shared" si="29"/>
        <v>10069</v>
      </c>
      <c r="AQ41" s="6">
        <f t="shared" si="20"/>
        <v>11529.005000000001</v>
      </c>
      <c r="AR41" s="6">
        <f t="shared" si="21"/>
        <v>8760.0300000000007</v>
      </c>
      <c r="AS41" s="6">
        <f t="shared" si="22"/>
        <v>3826.2200000000003</v>
      </c>
      <c r="AT41" s="5">
        <f t="shared" si="23"/>
        <v>6645.54</v>
      </c>
      <c r="AU41" s="6">
        <f t="shared" si="24"/>
        <v>8645.5400000000009</v>
      </c>
    </row>
    <row r="42" spans="7:47" x14ac:dyDescent="0.3">
      <c r="G42" s="6">
        <f t="shared" si="25"/>
        <v>10070</v>
      </c>
      <c r="H42" s="6">
        <f t="shared" si="0"/>
        <v>11530.15</v>
      </c>
      <c r="I42" s="6">
        <f t="shared" si="1"/>
        <v>8760.9</v>
      </c>
      <c r="J42" s="6">
        <f t="shared" si="2"/>
        <v>2920.2999999999997</v>
      </c>
      <c r="K42" s="5">
        <f t="shared" si="3"/>
        <v>5739.9</v>
      </c>
      <c r="L42" s="6">
        <f t="shared" si="4"/>
        <v>7739.9</v>
      </c>
      <c r="Q42" s="6">
        <f t="shared" si="26"/>
        <v>9945</v>
      </c>
      <c r="R42" s="6">
        <f t="shared" si="5"/>
        <v>11387.025</v>
      </c>
      <c r="S42" s="6">
        <f t="shared" si="6"/>
        <v>8652.15</v>
      </c>
      <c r="T42" s="6">
        <f t="shared" si="7"/>
        <v>3281.8500000000004</v>
      </c>
      <c r="U42" s="5">
        <f t="shared" si="8"/>
        <v>6066.45</v>
      </c>
      <c r="V42" s="6">
        <f t="shared" si="9"/>
        <v>8066.45</v>
      </c>
      <c r="Y42" s="6">
        <f t="shared" si="27"/>
        <v>10070</v>
      </c>
      <c r="Z42" s="6">
        <f t="shared" si="10"/>
        <v>11530.15</v>
      </c>
      <c r="AA42" s="6">
        <f t="shared" si="11"/>
        <v>8760.9</v>
      </c>
      <c r="AB42" s="6">
        <f t="shared" si="12"/>
        <v>3323.1000000000004</v>
      </c>
      <c r="AC42" s="5">
        <f t="shared" si="13"/>
        <v>6142.7</v>
      </c>
      <c r="AD42" s="6">
        <f t="shared" si="14"/>
        <v>8142.7</v>
      </c>
      <c r="AH42" s="6">
        <f t="shared" si="28"/>
        <v>9945</v>
      </c>
      <c r="AI42" s="6">
        <f t="shared" si="15"/>
        <v>11387.025</v>
      </c>
      <c r="AJ42" s="6">
        <f t="shared" si="16"/>
        <v>8652.15</v>
      </c>
      <c r="AK42" s="6">
        <f t="shared" si="17"/>
        <v>3779.1</v>
      </c>
      <c r="AL42" s="5">
        <f t="shared" si="18"/>
        <v>6563.7000000000007</v>
      </c>
      <c r="AM42" s="6">
        <f t="shared" si="19"/>
        <v>8563.7000000000007</v>
      </c>
      <c r="AP42" s="6">
        <f t="shared" si="29"/>
        <v>10070</v>
      </c>
      <c r="AQ42" s="6">
        <f t="shared" si="20"/>
        <v>11530.15</v>
      </c>
      <c r="AR42" s="6">
        <f t="shared" si="21"/>
        <v>8760.9</v>
      </c>
      <c r="AS42" s="6">
        <f t="shared" si="22"/>
        <v>3826.6</v>
      </c>
      <c r="AT42" s="5">
        <f t="shared" si="23"/>
        <v>6646.2000000000007</v>
      </c>
      <c r="AU42" s="6">
        <f t="shared" si="24"/>
        <v>8646.2000000000007</v>
      </c>
    </row>
    <row r="43" spans="7:47" x14ac:dyDescent="0.3">
      <c r="G43" s="6">
        <f t="shared" si="25"/>
        <v>10075</v>
      </c>
      <c r="H43" s="6">
        <f t="shared" si="0"/>
        <v>11535.875</v>
      </c>
      <c r="I43" s="6">
        <f t="shared" si="1"/>
        <v>8765.25</v>
      </c>
      <c r="J43" s="6">
        <f t="shared" si="2"/>
        <v>2921.75</v>
      </c>
      <c r="K43" s="5">
        <f t="shared" si="3"/>
        <v>5742.7499999999991</v>
      </c>
      <c r="L43" s="6">
        <f t="shared" si="4"/>
        <v>7742.7499999999991</v>
      </c>
      <c r="Q43" s="6">
        <f t="shared" si="26"/>
        <v>9946</v>
      </c>
      <c r="R43" s="6">
        <f t="shared" si="5"/>
        <v>11388.17</v>
      </c>
      <c r="S43" s="6">
        <f t="shared" si="6"/>
        <v>8653.02</v>
      </c>
      <c r="T43" s="6">
        <f t="shared" si="7"/>
        <v>3282.1800000000003</v>
      </c>
      <c r="U43" s="5">
        <f t="shared" si="8"/>
        <v>6067.0599999999995</v>
      </c>
      <c r="V43" s="6">
        <f t="shared" si="9"/>
        <v>8067.0599999999995</v>
      </c>
      <c r="Y43" s="6">
        <f t="shared" si="27"/>
        <v>10071</v>
      </c>
      <c r="Z43" s="6">
        <f t="shared" si="10"/>
        <v>11531.295</v>
      </c>
      <c r="AA43" s="6">
        <f t="shared" si="11"/>
        <v>8761.77</v>
      </c>
      <c r="AB43" s="6">
        <f t="shared" si="12"/>
        <v>3323.4300000000003</v>
      </c>
      <c r="AC43" s="5">
        <f t="shared" si="13"/>
        <v>6143.3099999999995</v>
      </c>
      <c r="AD43" s="6">
        <f t="shared" si="14"/>
        <v>8143.3099999999995</v>
      </c>
      <c r="AH43" s="6">
        <f t="shared" si="28"/>
        <v>9946</v>
      </c>
      <c r="AI43" s="6">
        <f t="shared" si="15"/>
        <v>11388.17</v>
      </c>
      <c r="AJ43" s="6">
        <f t="shared" si="16"/>
        <v>8653.02</v>
      </c>
      <c r="AK43" s="6">
        <f t="shared" si="17"/>
        <v>3779.48</v>
      </c>
      <c r="AL43" s="5">
        <f t="shared" si="18"/>
        <v>6564.3600000000006</v>
      </c>
      <c r="AM43" s="6">
        <f t="shared" si="19"/>
        <v>8564.36</v>
      </c>
      <c r="AP43" s="6">
        <f t="shared" si="29"/>
        <v>10071</v>
      </c>
      <c r="AQ43" s="6">
        <f t="shared" si="20"/>
        <v>11531.295</v>
      </c>
      <c r="AR43" s="6">
        <f t="shared" si="21"/>
        <v>8761.77</v>
      </c>
      <c r="AS43" s="6">
        <f t="shared" si="22"/>
        <v>3826.98</v>
      </c>
      <c r="AT43" s="5">
        <f t="shared" si="23"/>
        <v>6646.8600000000006</v>
      </c>
      <c r="AU43" s="6">
        <f t="shared" si="24"/>
        <v>8646.86</v>
      </c>
    </row>
    <row r="44" spans="7:47" x14ac:dyDescent="0.3">
      <c r="G44" s="6">
        <f t="shared" si="25"/>
        <v>10080</v>
      </c>
      <c r="H44" s="6">
        <f t="shared" si="0"/>
        <v>11541.6</v>
      </c>
      <c r="I44" s="6">
        <f t="shared" si="1"/>
        <v>8769.6</v>
      </c>
      <c r="J44" s="6">
        <f t="shared" si="2"/>
        <v>2923.2</v>
      </c>
      <c r="K44" s="5">
        <f t="shared" si="3"/>
        <v>5745.5999999999995</v>
      </c>
      <c r="L44" s="6">
        <f t="shared" si="4"/>
        <v>7745.5999999999995</v>
      </c>
      <c r="Q44" s="6">
        <f t="shared" si="26"/>
        <v>9947</v>
      </c>
      <c r="R44" s="6">
        <f t="shared" si="5"/>
        <v>11389.315000000001</v>
      </c>
      <c r="S44" s="6">
        <f t="shared" si="6"/>
        <v>8653.89</v>
      </c>
      <c r="T44" s="6">
        <f t="shared" si="7"/>
        <v>3282.51</v>
      </c>
      <c r="U44" s="5">
        <f t="shared" si="8"/>
        <v>6067.67</v>
      </c>
      <c r="V44" s="6">
        <f t="shared" si="9"/>
        <v>8067.67</v>
      </c>
      <c r="Y44" s="6">
        <f t="shared" si="27"/>
        <v>10072</v>
      </c>
      <c r="Z44" s="6">
        <f t="shared" si="10"/>
        <v>11532.44</v>
      </c>
      <c r="AA44" s="6">
        <f t="shared" si="11"/>
        <v>8762.64</v>
      </c>
      <c r="AB44" s="6">
        <f t="shared" si="12"/>
        <v>3323.76</v>
      </c>
      <c r="AC44" s="5">
        <f t="shared" si="13"/>
        <v>6143.92</v>
      </c>
      <c r="AD44" s="6">
        <f t="shared" si="14"/>
        <v>8143.92</v>
      </c>
      <c r="AH44" s="6">
        <f t="shared" si="28"/>
        <v>9947</v>
      </c>
      <c r="AI44" s="6">
        <f t="shared" si="15"/>
        <v>11389.315000000001</v>
      </c>
      <c r="AJ44" s="6">
        <f t="shared" si="16"/>
        <v>8653.89</v>
      </c>
      <c r="AK44" s="6">
        <f t="shared" si="17"/>
        <v>3779.86</v>
      </c>
      <c r="AL44" s="5">
        <f t="shared" si="18"/>
        <v>6565.02</v>
      </c>
      <c r="AM44" s="6">
        <f t="shared" si="19"/>
        <v>8565.02</v>
      </c>
      <c r="AP44" s="6">
        <f t="shared" si="29"/>
        <v>10072</v>
      </c>
      <c r="AQ44" s="6">
        <f t="shared" si="20"/>
        <v>11532.44</v>
      </c>
      <c r="AR44" s="6">
        <f t="shared" si="21"/>
        <v>8762.64</v>
      </c>
      <c r="AS44" s="6">
        <f t="shared" si="22"/>
        <v>3827.36</v>
      </c>
      <c r="AT44" s="5">
        <f t="shared" si="23"/>
        <v>6647.52</v>
      </c>
      <c r="AU44" s="6">
        <f t="shared" si="24"/>
        <v>8647.52</v>
      </c>
    </row>
    <row r="45" spans="7:47" x14ac:dyDescent="0.3">
      <c r="G45" s="6">
        <f t="shared" si="25"/>
        <v>10085</v>
      </c>
      <c r="H45" s="6">
        <f t="shared" si="0"/>
        <v>11547.325000000001</v>
      </c>
      <c r="I45" s="6">
        <f t="shared" si="1"/>
        <v>8773.9500000000007</v>
      </c>
      <c r="J45" s="6">
        <f t="shared" si="2"/>
        <v>2924.6499999999996</v>
      </c>
      <c r="K45" s="5">
        <f t="shared" si="3"/>
        <v>5748.45</v>
      </c>
      <c r="L45" s="6">
        <f t="shared" si="4"/>
        <v>7748.45</v>
      </c>
      <c r="Q45" s="6">
        <f t="shared" si="26"/>
        <v>9948</v>
      </c>
      <c r="R45" s="6">
        <f t="shared" si="5"/>
        <v>11390.460000000001</v>
      </c>
      <c r="S45" s="6">
        <f t="shared" si="6"/>
        <v>8654.76</v>
      </c>
      <c r="T45" s="6">
        <f t="shared" si="7"/>
        <v>3282.84</v>
      </c>
      <c r="U45" s="5">
        <f t="shared" si="8"/>
        <v>6068.28</v>
      </c>
      <c r="V45" s="6">
        <f t="shared" si="9"/>
        <v>8068.28</v>
      </c>
      <c r="Y45" s="6">
        <f t="shared" si="27"/>
        <v>10073</v>
      </c>
      <c r="Z45" s="6">
        <f t="shared" si="10"/>
        <v>11533.585000000001</v>
      </c>
      <c r="AA45" s="6">
        <f t="shared" si="11"/>
        <v>8763.51</v>
      </c>
      <c r="AB45" s="6">
        <f t="shared" si="12"/>
        <v>3324.09</v>
      </c>
      <c r="AC45" s="5">
        <f t="shared" si="13"/>
        <v>6144.53</v>
      </c>
      <c r="AD45" s="6">
        <f t="shared" si="14"/>
        <v>8144.53</v>
      </c>
      <c r="AH45" s="6">
        <f t="shared" si="28"/>
        <v>9948</v>
      </c>
      <c r="AI45" s="6">
        <f t="shared" si="15"/>
        <v>11390.460000000001</v>
      </c>
      <c r="AJ45" s="6">
        <f t="shared" si="16"/>
        <v>8654.76</v>
      </c>
      <c r="AK45" s="6">
        <f t="shared" si="17"/>
        <v>3780.2400000000002</v>
      </c>
      <c r="AL45" s="5">
        <f t="shared" si="18"/>
        <v>6565.68</v>
      </c>
      <c r="AM45" s="6">
        <f t="shared" si="19"/>
        <v>8565.68</v>
      </c>
      <c r="AP45" s="6">
        <f t="shared" si="29"/>
        <v>10073</v>
      </c>
      <c r="AQ45" s="6">
        <f t="shared" si="20"/>
        <v>11533.585000000001</v>
      </c>
      <c r="AR45" s="6">
        <f t="shared" si="21"/>
        <v>8763.51</v>
      </c>
      <c r="AS45" s="6">
        <f t="shared" si="22"/>
        <v>3827.7400000000002</v>
      </c>
      <c r="AT45" s="5">
        <f t="shared" si="23"/>
        <v>6648.18</v>
      </c>
      <c r="AU45" s="6">
        <f t="shared" si="24"/>
        <v>8648.18</v>
      </c>
    </row>
    <row r="46" spans="7:47" x14ac:dyDescent="0.3">
      <c r="G46" s="6">
        <f t="shared" si="25"/>
        <v>10090</v>
      </c>
      <c r="H46" s="6">
        <f t="shared" si="0"/>
        <v>11553.05</v>
      </c>
      <c r="I46" s="6">
        <f t="shared" si="1"/>
        <v>8778.2999999999993</v>
      </c>
      <c r="J46" s="6">
        <f t="shared" si="2"/>
        <v>2926.1</v>
      </c>
      <c r="K46" s="5">
        <f t="shared" si="3"/>
        <v>5751.2999999999993</v>
      </c>
      <c r="L46" s="6">
        <f t="shared" si="4"/>
        <v>7751.2999999999993</v>
      </c>
      <c r="Q46" s="6">
        <f t="shared" si="26"/>
        <v>9949</v>
      </c>
      <c r="R46" s="6">
        <f t="shared" si="5"/>
        <v>11391.605</v>
      </c>
      <c r="S46" s="6">
        <f t="shared" si="6"/>
        <v>8655.6299999999992</v>
      </c>
      <c r="T46" s="6">
        <f t="shared" si="7"/>
        <v>3283.17</v>
      </c>
      <c r="U46" s="5">
        <f t="shared" si="8"/>
        <v>6068.8899999999994</v>
      </c>
      <c r="V46" s="6">
        <f t="shared" si="9"/>
        <v>8068.8899999999994</v>
      </c>
      <c r="Y46" s="6">
        <f t="shared" si="27"/>
        <v>10074</v>
      </c>
      <c r="Z46" s="6">
        <f t="shared" si="10"/>
        <v>11534.73</v>
      </c>
      <c r="AA46" s="6">
        <f t="shared" si="11"/>
        <v>8764.3799999999992</v>
      </c>
      <c r="AB46" s="6">
        <f t="shared" si="12"/>
        <v>3324.42</v>
      </c>
      <c r="AC46" s="5">
        <f t="shared" si="13"/>
        <v>6145.1399999999994</v>
      </c>
      <c r="AD46" s="6">
        <f t="shared" si="14"/>
        <v>8145.1399999999994</v>
      </c>
      <c r="AH46" s="6">
        <f t="shared" si="28"/>
        <v>9949</v>
      </c>
      <c r="AI46" s="6">
        <f t="shared" si="15"/>
        <v>11391.605</v>
      </c>
      <c r="AJ46" s="6">
        <f t="shared" si="16"/>
        <v>8655.6299999999992</v>
      </c>
      <c r="AK46" s="6">
        <f t="shared" si="17"/>
        <v>3780.62</v>
      </c>
      <c r="AL46" s="5">
        <f t="shared" si="18"/>
        <v>6566.34</v>
      </c>
      <c r="AM46" s="6">
        <f t="shared" si="19"/>
        <v>8566.34</v>
      </c>
      <c r="AP46" s="6">
        <f t="shared" si="29"/>
        <v>10074</v>
      </c>
      <c r="AQ46" s="6">
        <f t="shared" si="20"/>
        <v>11534.73</v>
      </c>
      <c r="AR46" s="6">
        <f t="shared" si="21"/>
        <v>8764.3799999999992</v>
      </c>
      <c r="AS46" s="6">
        <f t="shared" si="22"/>
        <v>3828.12</v>
      </c>
      <c r="AT46" s="5">
        <f t="shared" si="23"/>
        <v>6648.84</v>
      </c>
      <c r="AU46" s="6">
        <f t="shared" si="24"/>
        <v>8648.84</v>
      </c>
    </row>
    <row r="47" spans="7:47" x14ac:dyDescent="0.3">
      <c r="G47" s="6">
        <f t="shared" si="25"/>
        <v>10095</v>
      </c>
      <c r="H47" s="6">
        <f t="shared" si="0"/>
        <v>11558.775</v>
      </c>
      <c r="I47" s="6">
        <f t="shared" si="1"/>
        <v>8782.65</v>
      </c>
      <c r="J47" s="6">
        <f t="shared" si="2"/>
        <v>2927.5499999999997</v>
      </c>
      <c r="K47" s="5">
        <f t="shared" si="3"/>
        <v>5754.15</v>
      </c>
      <c r="L47" s="6">
        <f t="shared" si="4"/>
        <v>7754.15</v>
      </c>
      <c r="Q47" s="6">
        <f t="shared" si="26"/>
        <v>9950</v>
      </c>
      <c r="R47" s="6">
        <f t="shared" si="5"/>
        <v>11392.75</v>
      </c>
      <c r="S47" s="6">
        <f t="shared" si="6"/>
        <v>8656.5</v>
      </c>
      <c r="T47" s="6">
        <f t="shared" si="7"/>
        <v>3283.5</v>
      </c>
      <c r="U47" s="5">
        <f t="shared" si="8"/>
        <v>6069.5</v>
      </c>
      <c r="V47" s="6">
        <f t="shared" si="9"/>
        <v>8069.5</v>
      </c>
      <c r="Y47" s="6">
        <f t="shared" si="27"/>
        <v>10075</v>
      </c>
      <c r="Z47" s="6">
        <f t="shared" si="10"/>
        <v>11535.875</v>
      </c>
      <c r="AA47" s="6">
        <f t="shared" si="11"/>
        <v>8765.25</v>
      </c>
      <c r="AB47" s="6">
        <f t="shared" si="12"/>
        <v>3324.75</v>
      </c>
      <c r="AC47" s="5">
        <f t="shared" si="13"/>
        <v>6145.75</v>
      </c>
      <c r="AD47" s="6">
        <f t="shared" si="14"/>
        <v>8145.75</v>
      </c>
      <c r="AH47" s="6">
        <f t="shared" si="28"/>
        <v>9950</v>
      </c>
      <c r="AI47" s="6">
        <f t="shared" si="15"/>
        <v>11392.75</v>
      </c>
      <c r="AJ47" s="6">
        <f t="shared" si="16"/>
        <v>8656.5</v>
      </c>
      <c r="AK47" s="6">
        <f t="shared" si="17"/>
        <v>3781</v>
      </c>
      <c r="AL47" s="5">
        <f t="shared" si="18"/>
        <v>6567</v>
      </c>
      <c r="AM47" s="6">
        <f t="shared" si="19"/>
        <v>8567</v>
      </c>
      <c r="AP47" s="6">
        <f t="shared" si="29"/>
        <v>10075</v>
      </c>
      <c r="AQ47" s="6">
        <f t="shared" si="20"/>
        <v>11535.875</v>
      </c>
      <c r="AR47" s="6">
        <f t="shared" si="21"/>
        <v>8765.25</v>
      </c>
      <c r="AS47" s="6">
        <f t="shared" si="22"/>
        <v>3828.5</v>
      </c>
      <c r="AT47" s="5">
        <f t="shared" si="23"/>
        <v>6649.5</v>
      </c>
      <c r="AU47" s="6">
        <f t="shared" si="24"/>
        <v>8649.5</v>
      </c>
    </row>
    <row r="48" spans="7:47" x14ac:dyDescent="0.3">
      <c r="G48" s="6">
        <f>G47+5</f>
        <v>10100</v>
      </c>
      <c r="H48" s="6">
        <f t="shared" si="0"/>
        <v>11564.5</v>
      </c>
      <c r="I48" s="6">
        <f t="shared" si="1"/>
        <v>8787</v>
      </c>
      <c r="J48" s="6">
        <f t="shared" si="2"/>
        <v>2929</v>
      </c>
      <c r="K48" s="5">
        <f t="shared" si="3"/>
        <v>5756.9999999999991</v>
      </c>
      <c r="L48" s="6">
        <f t="shared" si="4"/>
        <v>7756.9999999999991</v>
      </c>
      <c r="Q48" s="6">
        <f t="shared" si="26"/>
        <v>9951</v>
      </c>
      <c r="R48" s="6">
        <f t="shared" si="5"/>
        <v>11393.895</v>
      </c>
      <c r="S48" s="6">
        <f t="shared" si="6"/>
        <v>8657.3700000000008</v>
      </c>
      <c r="T48" s="6">
        <f t="shared" si="7"/>
        <v>3283.83</v>
      </c>
      <c r="U48" s="5">
        <f t="shared" si="8"/>
        <v>6070.11</v>
      </c>
      <c r="V48" s="6">
        <f t="shared" si="9"/>
        <v>8070.11</v>
      </c>
      <c r="Y48" s="6">
        <f t="shared" si="27"/>
        <v>10076</v>
      </c>
      <c r="Z48" s="6">
        <f t="shared" si="10"/>
        <v>11537.02</v>
      </c>
      <c r="AA48" s="6">
        <f t="shared" si="11"/>
        <v>8766.1200000000008</v>
      </c>
      <c r="AB48" s="6">
        <f t="shared" si="12"/>
        <v>3325.0800000000004</v>
      </c>
      <c r="AC48" s="5">
        <f t="shared" si="13"/>
        <v>6146.36</v>
      </c>
      <c r="AD48" s="6">
        <f t="shared" si="14"/>
        <v>8146.36</v>
      </c>
      <c r="AH48" s="6">
        <f t="shared" si="28"/>
        <v>9951</v>
      </c>
      <c r="AI48" s="6">
        <f t="shared" si="15"/>
        <v>11393.895</v>
      </c>
      <c r="AJ48" s="6">
        <f t="shared" si="16"/>
        <v>8657.3700000000008</v>
      </c>
      <c r="AK48" s="6">
        <f t="shared" si="17"/>
        <v>3781.38</v>
      </c>
      <c r="AL48" s="5">
        <f t="shared" si="18"/>
        <v>6567.66</v>
      </c>
      <c r="AM48" s="6">
        <f t="shared" si="19"/>
        <v>8567.66</v>
      </c>
      <c r="AP48" s="6">
        <f t="shared" si="29"/>
        <v>10076</v>
      </c>
      <c r="AQ48" s="6">
        <f t="shared" si="20"/>
        <v>11537.02</v>
      </c>
      <c r="AR48" s="6">
        <f t="shared" si="21"/>
        <v>8766.1200000000008</v>
      </c>
      <c r="AS48" s="6">
        <f t="shared" si="22"/>
        <v>3828.88</v>
      </c>
      <c r="AT48" s="5">
        <f t="shared" si="23"/>
        <v>6650.1600000000008</v>
      </c>
      <c r="AU48" s="6">
        <f t="shared" si="24"/>
        <v>8650.16</v>
      </c>
    </row>
    <row r="49" spans="17:47" x14ac:dyDescent="0.3">
      <c r="Q49" s="6">
        <f t="shared" si="26"/>
        <v>9952</v>
      </c>
      <c r="R49" s="6">
        <f t="shared" si="5"/>
        <v>11395.04</v>
      </c>
      <c r="S49" s="6">
        <f t="shared" si="6"/>
        <v>8658.24</v>
      </c>
      <c r="T49" s="6">
        <f t="shared" si="7"/>
        <v>3284.1600000000003</v>
      </c>
      <c r="U49" s="5">
        <f t="shared" si="8"/>
        <v>6070.72</v>
      </c>
      <c r="V49" s="6">
        <f t="shared" si="9"/>
        <v>8070.72</v>
      </c>
      <c r="Y49" s="6">
        <f t="shared" si="27"/>
        <v>10077</v>
      </c>
      <c r="Z49" s="6">
        <f t="shared" si="10"/>
        <v>11538.165000000001</v>
      </c>
      <c r="AA49" s="6">
        <f t="shared" si="11"/>
        <v>8766.99</v>
      </c>
      <c r="AB49" s="6">
        <f t="shared" si="12"/>
        <v>3325.4100000000003</v>
      </c>
      <c r="AC49" s="5">
        <f t="shared" si="13"/>
        <v>6146.97</v>
      </c>
      <c r="AD49" s="6">
        <f t="shared" si="14"/>
        <v>8146.97</v>
      </c>
      <c r="AH49" s="6">
        <f t="shared" si="28"/>
        <v>9952</v>
      </c>
      <c r="AI49" s="6">
        <f t="shared" si="15"/>
        <v>11395.04</v>
      </c>
      <c r="AJ49" s="6">
        <f t="shared" si="16"/>
        <v>8658.24</v>
      </c>
      <c r="AK49" s="6">
        <f t="shared" si="17"/>
        <v>3781.76</v>
      </c>
      <c r="AL49" s="5">
        <f t="shared" si="18"/>
        <v>6568.3200000000006</v>
      </c>
      <c r="AM49" s="6">
        <f t="shared" si="19"/>
        <v>8568.32</v>
      </c>
      <c r="AP49" s="6">
        <f t="shared" si="29"/>
        <v>10077</v>
      </c>
      <c r="AQ49" s="6">
        <f t="shared" si="20"/>
        <v>11538.165000000001</v>
      </c>
      <c r="AR49" s="6">
        <f t="shared" si="21"/>
        <v>8766.99</v>
      </c>
      <c r="AS49" s="6">
        <f t="shared" si="22"/>
        <v>3829.26</v>
      </c>
      <c r="AT49" s="5">
        <f t="shared" si="23"/>
        <v>6650.8200000000006</v>
      </c>
      <c r="AU49" s="6">
        <f t="shared" si="24"/>
        <v>8650.82</v>
      </c>
    </row>
    <row r="50" spans="17:47" x14ac:dyDescent="0.3">
      <c r="Q50" s="6">
        <f t="shared" si="26"/>
        <v>9953</v>
      </c>
      <c r="R50" s="6">
        <f t="shared" si="5"/>
        <v>11396.184999999999</v>
      </c>
      <c r="S50" s="6">
        <f t="shared" si="6"/>
        <v>8659.11</v>
      </c>
      <c r="T50" s="6">
        <f t="shared" si="7"/>
        <v>3284.4900000000002</v>
      </c>
      <c r="U50" s="5">
        <f t="shared" si="8"/>
        <v>6071.33</v>
      </c>
      <c r="V50" s="6">
        <f t="shared" si="9"/>
        <v>8071.33</v>
      </c>
      <c r="Y50" s="6">
        <f t="shared" si="27"/>
        <v>10078</v>
      </c>
      <c r="Z50" s="6">
        <f t="shared" si="10"/>
        <v>11539.31</v>
      </c>
      <c r="AA50" s="6">
        <f t="shared" si="11"/>
        <v>8767.86</v>
      </c>
      <c r="AB50" s="6">
        <f t="shared" si="12"/>
        <v>3325.7400000000002</v>
      </c>
      <c r="AC50" s="5">
        <f t="shared" si="13"/>
        <v>6147.58</v>
      </c>
      <c r="AD50" s="6">
        <f t="shared" si="14"/>
        <v>8147.58</v>
      </c>
      <c r="AH50" s="6">
        <f t="shared" si="28"/>
        <v>9953</v>
      </c>
      <c r="AI50" s="6">
        <f t="shared" si="15"/>
        <v>11396.184999999999</v>
      </c>
      <c r="AJ50" s="6">
        <f t="shared" si="16"/>
        <v>8659.11</v>
      </c>
      <c r="AK50" s="6">
        <f t="shared" si="17"/>
        <v>3782.14</v>
      </c>
      <c r="AL50" s="5">
        <f t="shared" si="18"/>
        <v>6568.9800000000005</v>
      </c>
      <c r="AM50" s="6">
        <f t="shared" si="19"/>
        <v>8568.98</v>
      </c>
      <c r="AP50" s="6">
        <f t="shared" si="29"/>
        <v>10078</v>
      </c>
      <c r="AQ50" s="6">
        <f t="shared" si="20"/>
        <v>11539.31</v>
      </c>
      <c r="AR50" s="6">
        <f t="shared" si="21"/>
        <v>8767.86</v>
      </c>
      <c r="AS50" s="6">
        <f t="shared" si="22"/>
        <v>3829.64</v>
      </c>
      <c r="AT50" s="5">
        <f t="shared" si="23"/>
        <v>6651.4800000000005</v>
      </c>
      <c r="AU50" s="6">
        <f t="shared" si="24"/>
        <v>8651.48</v>
      </c>
    </row>
    <row r="51" spans="17:47" x14ac:dyDescent="0.3">
      <c r="Q51" s="6">
        <f t="shared" si="26"/>
        <v>9954</v>
      </c>
      <c r="R51" s="6">
        <f t="shared" si="5"/>
        <v>11397.33</v>
      </c>
      <c r="S51" s="6">
        <f t="shared" si="6"/>
        <v>8659.98</v>
      </c>
      <c r="T51" s="6">
        <f t="shared" si="7"/>
        <v>3284.82</v>
      </c>
      <c r="U51" s="5">
        <f t="shared" si="8"/>
        <v>6071.94</v>
      </c>
      <c r="V51" s="6">
        <f t="shared" si="9"/>
        <v>8071.94</v>
      </c>
      <c r="Y51" s="6">
        <f t="shared" si="27"/>
        <v>10079</v>
      </c>
      <c r="Z51" s="6">
        <f t="shared" si="10"/>
        <v>11540.455</v>
      </c>
      <c r="AA51" s="6">
        <f t="shared" si="11"/>
        <v>8768.73</v>
      </c>
      <c r="AB51" s="6">
        <f t="shared" si="12"/>
        <v>3326.07</v>
      </c>
      <c r="AC51" s="5">
        <f t="shared" si="13"/>
        <v>6148.19</v>
      </c>
      <c r="AD51" s="6">
        <f t="shared" si="14"/>
        <v>8148.19</v>
      </c>
      <c r="AH51" s="6">
        <f t="shared" si="28"/>
        <v>9954</v>
      </c>
      <c r="AI51" s="6">
        <f t="shared" si="15"/>
        <v>11397.33</v>
      </c>
      <c r="AJ51" s="6">
        <f t="shared" si="16"/>
        <v>8659.98</v>
      </c>
      <c r="AK51" s="6">
        <f t="shared" si="17"/>
        <v>3782.52</v>
      </c>
      <c r="AL51" s="5">
        <f t="shared" si="18"/>
        <v>6569.64</v>
      </c>
      <c r="AM51" s="6">
        <f t="shared" si="19"/>
        <v>8569.64</v>
      </c>
      <c r="AP51" s="6">
        <f t="shared" si="29"/>
        <v>10079</v>
      </c>
      <c r="AQ51" s="6">
        <f t="shared" si="20"/>
        <v>11540.455</v>
      </c>
      <c r="AR51" s="6">
        <f t="shared" si="21"/>
        <v>8768.73</v>
      </c>
      <c r="AS51" s="6">
        <f t="shared" si="22"/>
        <v>3830.02</v>
      </c>
      <c r="AT51" s="5">
        <f t="shared" si="23"/>
        <v>6652.14</v>
      </c>
      <c r="AU51" s="6">
        <f t="shared" si="24"/>
        <v>8652.14</v>
      </c>
    </row>
    <row r="52" spans="17:47" x14ac:dyDescent="0.3">
      <c r="Q52" s="6">
        <f t="shared" si="26"/>
        <v>9955</v>
      </c>
      <c r="R52" s="6">
        <f t="shared" si="5"/>
        <v>11398.475</v>
      </c>
      <c r="S52" s="6">
        <f t="shared" si="6"/>
        <v>8660.85</v>
      </c>
      <c r="T52" s="6">
        <f t="shared" si="7"/>
        <v>3285.15</v>
      </c>
      <c r="U52" s="5">
        <f t="shared" si="8"/>
        <v>6072.55</v>
      </c>
      <c r="V52" s="6">
        <f t="shared" si="9"/>
        <v>8072.55</v>
      </c>
      <c r="Y52" s="6">
        <f t="shared" si="27"/>
        <v>10080</v>
      </c>
      <c r="Z52" s="6">
        <f t="shared" si="10"/>
        <v>11541.6</v>
      </c>
      <c r="AA52" s="6">
        <f t="shared" si="11"/>
        <v>8769.6</v>
      </c>
      <c r="AB52" s="6">
        <f t="shared" si="12"/>
        <v>3326.4</v>
      </c>
      <c r="AC52" s="5">
        <f t="shared" si="13"/>
        <v>6148.8</v>
      </c>
      <c r="AD52" s="6">
        <f t="shared" si="14"/>
        <v>8148.8</v>
      </c>
      <c r="AH52" s="6">
        <f t="shared" si="28"/>
        <v>9955</v>
      </c>
      <c r="AI52" s="6">
        <f t="shared" si="15"/>
        <v>11398.475</v>
      </c>
      <c r="AJ52" s="6">
        <f t="shared" si="16"/>
        <v>8660.85</v>
      </c>
      <c r="AK52" s="6">
        <f t="shared" si="17"/>
        <v>3782.9</v>
      </c>
      <c r="AL52" s="5">
        <f t="shared" si="18"/>
        <v>6570.3</v>
      </c>
      <c r="AM52" s="6">
        <f t="shared" si="19"/>
        <v>8570.2999999999993</v>
      </c>
      <c r="AP52" s="6">
        <f t="shared" si="29"/>
        <v>10080</v>
      </c>
      <c r="AQ52" s="6">
        <f t="shared" si="20"/>
        <v>11541.6</v>
      </c>
      <c r="AR52" s="6">
        <f t="shared" si="21"/>
        <v>8769.6</v>
      </c>
      <c r="AS52" s="6">
        <f t="shared" si="22"/>
        <v>3830.4</v>
      </c>
      <c r="AT52" s="5">
        <f t="shared" si="23"/>
        <v>6652.8</v>
      </c>
      <c r="AU52" s="6">
        <f t="shared" si="24"/>
        <v>8652.7999999999993</v>
      </c>
    </row>
    <row r="53" spans="17:47" x14ac:dyDescent="0.3">
      <c r="Q53" s="6">
        <f t="shared" si="26"/>
        <v>9956</v>
      </c>
      <c r="R53" s="6">
        <f t="shared" si="5"/>
        <v>11399.62</v>
      </c>
      <c r="S53" s="6">
        <f t="shared" si="6"/>
        <v>8661.7199999999993</v>
      </c>
      <c r="T53" s="6">
        <f t="shared" si="7"/>
        <v>3285.48</v>
      </c>
      <c r="U53" s="5">
        <f t="shared" si="8"/>
        <v>6073.16</v>
      </c>
      <c r="V53" s="6">
        <f t="shared" si="9"/>
        <v>8073.16</v>
      </c>
      <c r="Y53" s="6">
        <f t="shared" si="27"/>
        <v>10081</v>
      </c>
      <c r="Z53" s="6">
        <f t="shared" si="10"/>
        <v>11542.745000000001</v>
      </c>
      <c r="AA53" s="6">
        <f t="shared" si="11"/>
        <v>8770.4699999999993</v>
      </c>
      <c r="AB53" s="6">
        <f t="shared" si="12"/>
        <v>3326.73</v>
      </c>
      <c r="AC53" s="5">
        <f t="shared" si="13"/>
        <v>6149.41</v>
      </c>
      <c r="AD53" s="6">
        <f t="shared" si="14"/>
        <v>8149.41</v>
      </c>
      <c r="AH53" s="6">
        <f t="shared" si="28"/>
        <v>9956</v>
      </c>
      <c r="AI53" s="6">
        <f t="shared" si="15"/>
        <v>11399.62</v>
      </c>
      <c r="AJ53" s="6">
        <f t="shared" si="16"/>
        <v>8661.7199999999993</v>
      </c>
      <c r="AK53" s="6">
        <f t="shared" si="17"/>
        <v>3783.28</v>
      </c>
      <c r="AL53" s="5">
        <f t="shared" si="18"/>
        <v>6570.96</v>
      </c>
      <c r="AM53" s="6">
        <f t="shared" si="19"/>
        <v>8570.9599999999991</v>
      </c>
      <c r="AP53" s="6">
        <f t="shared" si="29"/>
        <v>10081</v>
      </c>
      <c r="AQ53" s="6">
        <f t="shared" si="20"/>
        <v>11542.745000000001</v>
      </c>
      <c r="AR53" s="6">
        <f t="shared" si="21"/>
        <v>8770.4699999999993</v>
      </c>
      <c r="AS53" s="6">
        <f t="shared" si="22"/>
        <v>3830.78</v>
      </c>
      <c r="AT53" s="5">
        <f t="shared" si="23"/>
        <v>6653.46</v>
      </c>
      <c r="AU53" s="6">
        <f t="shared" si="24"/>
        <v>8653.4599999999991</v>
      </c>
    </row>
    <row r="54" spans="17:47" x14ac:dyDescent="0.3">
      <c r="Q54" s="6">
        <f t="shared" si="26"/>
        <v>9957</v>
      </c>
      <c r="R54" s="6">
        <f t="shared" si="5"/>
        <v>11400.764999999999</v>
      </c>
      <c r="S54" s="6">
        <f t="shared" si="6"/>
        <v>8662.59</v>
      </c>
      <c r="T54" s="6">
        <f t="shared" si="7"/>
        <v>3285.81</v>
      </c>
      <c r="U54" s="5">
        <f t="shared" si="8"/>
        <v>6073.7699999999995</v>
      </c>
      <c r="V54" s="6">
        <f t="shared" si="9"/>
        <v>8073.7699999999995</v>
      </c>
      <c r="Y54" s="6">
        <f t="shared" si="27"/>
        <v>10082</v>
      </c>
      <c r="Z54" s="6">
        <f t="shared" si="10"/>
        <v>11543.89</v>
      </c>
      <c r="AA54" s="6">
        <f t="shared" si="11"/>
        <v>8771.34</v>
      </c>
      <c r="AB54" s="6">
        <f t="shared" si="12"/>
        <v>3327.06</v>
      </c>
      <c r="AC54" s="5">
        <f t="shared" si="13"/>
        <v>6150.0199999999995</v>
      </c>
      <c r="AD54" s="6">
        <f t="shared" si="14"/>
        <v>8150.0199999999995</v>
      </c>
      <c r="AH54" s="6">
        <f t="shared" si="28"/>
        <v>9957</v>
      </c>
      <c r="AI54" s="6">
        <f t="shared" si="15"/>
        <v>11400.764999999999</v>
      </c>
      <c r="AJ54" s="6">
        <f t="shared" si="16"/>
        <v>8662.59</v>
      </c>
      <c r="AK54" s="6">
        <f t="shared" si="17"/>
        <v>3783.66</v>
      </c>
      <c r="AL54" s="5">
        <f t="shared" si="18"/>
        <v>6571.62</v>
      </c>
      <c r="AM54" s="6">
        <f t="shared" si="19"/>
        <v>8571.619999999999</v>
      </c>
      <c r="AP54" s="6">
        <f t="shared" si="29"/>
        <v>10082</v>
      </c>
      <c r="AQ54" s="6">
        <f t="shared" si="20"/>
        <v>11543.89</v>
      </c>
      <c r="AR54" s="6">
        <f t="shared" si="21"/>
        <v>8771.34</v>
      </c>
      <c r="AS54" s="6">
        <f t="shared" si="22"/>
        <v>3831.16</v>
      </c>
      <c r="AT54" s="5">
        <f t="shared" si="23"/>
        <v>6654.12</v>
      </c>
      <c r="AU54" s="6">
        <f t="shared" si="24"/>
        <v>8654.119999999999</v>
      </c>
    </row>
    <row r="55" spans="17:47" x14ac:dyDescent="0.3">
      <c r="Q55" s="6">
        <f t="shared" si="26"/>
        <v>9958</v>
      </c>
      <c r="R55" s="6">
        <f t="shared" si="5"/>
        <v>11401.91</v>
      </c>
      <c r="S55" s="6">
        <f t="shared" si="6"/>
        <v>8663.4599999999991</v>
      </c>
      <c r="T55" s="6">
        <f t="shared" si="7"/>
        <v>3286.1400000000003</v>
      </c>
      <c r="U55" s="5">
        <f t="shared" si="8"/>
        <v>6074.38</v>
      </c>
      <c r="V55" s="6">
        <f t="shared" si="9"/>
        <v>8074.38</v>
      </c>
      <c r="Y55" s="6">
        <f t="shared" si="27"/>
        <v>10083</v>
      </c>
      <c r="Z55" s="6">
        <f t="shared" si="10"/>
        <v>11545.035</v>
      </c>
      <c r="AA55" s="6">
        <f t="shared" si="11"/>
        <v>8772.2099999999991</v>
      </c>
      <c r="AB55" s="6">
        <f t="shared" si="12"/>
        <v>3327.3900000000003</v>
      </c>
      <c r="AC55" s="5">
        <f t="shared" si="13"/>
        <v>6150.63</v>
      </c>
      <c r="AD55" s="6">
        <f t="shared" si="14"/>
        <v>8150.63</v>
      </c>
      <c r="AH55" s="6">
        <f t="shared" si="28"/>
        <v>9958</v>
      </c>
      <c r="AI55" s="6">
        <f t="shared" si="15"/>
        <v>11401.91</v>
      </c>
      <c r="AJ55" s="6">
        <f t="shared" si="16"/>
        <v>8663.4599999999991</v>
      </c>
      <c r="AK55" s="6">
        <f t="shared" si="17"/>
        <v>3784.04</v>
      </c>
      <c r="AL55" s="5">
        <f t="shared" si="18"/>
        <v>6572.2800000000007</v>
      </c>
      <c r="AM55" s="6">
        <f t="shared" si="19"/>
        <v>8572.2800000000007</v>
      </c>
      <c r="AP55" s="6">
        <f t="shared" si="29"/>
        <v>10083</v>
      </c>
      <c r="AQ55" s="6">
        <f t="shared" si="20"/>
        <v>11545.035</v>
      </c>
      <c r="AR55" s="6">
        <f t="shared" si="21"/>
        <v>8772.2099999999991</v>
      </c>
      <c r="AS55" s="6">
        <f t="shared" si="22"/>
        <v>3831.54</v>
      </c>
      <c r="AT55" s="5">
        <f t="shared" si="23"/>
        <v>6654.7800000000007</v>
      </c>
      <c r="AU55" s="6">
        <f t="shared" si="24"/>
        <v>8654.7800000000007</v>
      </c>
    </row>
    <row r="56" spans="17:47" x14ac:dyDescent="0.3">
      <c r="Q56" s="6">
        <f t="shared" si="26"/>
        <v>9959</v>
      </c>
      <c r="R56" s="6">
        <f t="shared" si="5"/>
        <v>11403.055</v>
      </c>
      <c r="S56" s="6">
        <f t="shared" si="6"/>
        <v>8664.33</v>
      </c>
      <c r="T56" s="6">
        <f t="shared" si="7"/>
        <v>3286.4700000000003</v>
      </c>
      <c r="U56" s="5">
        <f t="shared" si="8"/>
        <v>6074.99</v>
      </c>
      <c r="V56" s="6">
        <f t="shared" si="9"/>
        <v>8074.99</v>
      </c>
      <c r="Y56" s="6">
        <f t="shared" si="27"/>
        <v>10084</v>
      </c>
      <c r="Z56" s="6">
        <f t="shared" si="10"/>
        <v>11546.18</v>
      </c>
      <c r="AA56" s="6">
        <f t="shared" si="11"/>
        <v>8773.08</v>
      </c>
      <c r="AB56" s="6">
        <f t="shared" si="12"/>
        <v>3327.7200000000003</v>
      </c>
      <c r="AC56" s="5">
        <f t="shared" si="13"/>
        <v>6151.24</v>
      </c>
      <c r="AD56" s="6">
        <f t="shared" si="14"/>
        <v>8151.24</v>
      </c>
      <c r="AH56" s="6">
        <f t="shared" si="28"/>
        <v>9959</v>
      </c>
      <c r="AI56" s="6">
        <f t="shared" si="15"/>
        <v>11403.055</v>
      </c>
      <c r="AJ56" s="6">
        <f t="shared" si="16"/>
        <v>8664.33</v>
      </c>
      <c r="AK56" s="6">
        <f t="shared" si="17"/>
        <v>3784.42</v>
      </c>
      <c r="AL56" s="5">
        <f t="shared" si="18"/>
        <v>6572.9400000000005</v>
      </c>
      <c r="AM56" s="6">
        <f t="shared" si="19"/>
        <v>8572.94</v>
      </c>
      <c r="AP56" s="6">
        <f t="shared" si="29"/>
        <v>10084</v>
      </c>
      <c r="AQ56" s="6">
        <f t="shared" si="20"/>
        <v>11546.18</v>
      </c>
      <c r="AR56" s="6">
        <f t="shared" si="21"/>
        <v>8773.08</v>
      </c>
      <c r="AS56" s="6">
        <f t="shared" si="22"/>
        <v>3831.92</v>
      </c>
      <c r="AT56" s="5">
        <f t="shared" si="23"/>
        <v>6655.4400000000005</v>
      </c>
      <c r="AU56" s="6">
        <f t="shared" si="24"/>
        <v>8655.44</v>
      </c>
    </row>
    <row r="57" spans="17:47" x14ac:dyDescent="0.3">
      <c r="Q57" s="6">
        <f>Q56+1</f>
        <v>9960</v>
      </c>
      <c r="R57" s="6">
        <f t="shared" si="5"/>
        <v>11404.2</v>
      </c>
      <c r="S57" s="6">
        <f t="shared" si="6"/>
        <v>8665.2000000000007</v>
      </c>
      <c r="T57" s="6">
        <f t="shared" si="7"/>
        <v>3286.8</v>
      </c>
      <c r="U57" s="5">
        <f t="shared" si="8"/>
        <v>6075.5999999999995</v>
      </c>
      <c r="V57" s="6">
        <f t="shared" si="9"/>
        <v>8075.5999999999995</v>
      </c>
      <c r="Y57" s="6">
        <f>Y56+1</f>
        <v>10085</v>
      </c>
      <c r="Z57" s="6">
        <f t="shared" si="10"/>
        <v>11547.325000000001</v>
      </c>
      <c r="AA57" s="6">
        <f t="shared" si="11"/>
        <v>8773.9500000000007</v>
      </c>
      <c r="AB57" s="6">
        <f t="shared" si="12"/>
        <v>3328.05</v>
      </c>
      <c r="AC57" s="5">
        <f t="shared" si="13"/>
        <v>6151.8499999999995</v>
      </c>
      <c r="AD57" s="6">
        <f t="shared" si="14"/>
        <v>8151.8499999999995</v>
      </c>
      <c r="AH57" s="6">
        <f>AH56+1</f>
        <v>9960</v>
      </c>
      <c r="AI57" s="6">
        <f t="shared" si="15"/>
        <v>11404.2</v>
      </c>
      <c r="AJ57" s="6">
        <f t="shared" si="16"/>
        <v>8665.2000000000007</v>
      </c>
      <c r="AK57" s="6">
        <f t="shared" si="17"/>
        <v>3784.8</v>
      </c>
      <c r="AL57" s="5">
        <f t="shared" si="18"/>
        <v>6573.6</v>
      </c>
      <c r="AM57" s="6">
        <f t="shared" si="19"/>
        <v>8573.6</v>
      </c>
      <c r="AP57" s="6">
        <f>AP56+1</f>
        <v>10085</v>
      </c>
      <c r="AQ57" s="6">
        <f t="shared" si="20"/>
        <v>11547.325000000001</v>
      </c>
      <c r="AR57" s="6">
        <f t="shared" si="21"/>
        <v>8773.9500000000007</v>
      </c>
      <c r="AS57" s="6">
        <f t="shared" si="22"/>
        <v>3832.3</v>
      </c>
      <c r="AT57" s="5">
        <f t="shared" si="23"/>
        <v>6656.1</v>
      </c>
      <c r="AU57" s="6">
        <f t="shared" si="24"/>
        <v>8656.1</v>
      </c>
    </row>
    <row r="58" spans="17:47" x14ac:dyDescent="0.3">
      <c r="Q58" s="6">
        <f t="shared" si="26"/>
        <v>9961</v>
      </c>
      <c r="R58" s="6">
        <f t="shared" si="5"/>
        <v>11405.344999999999</v>
      </c>
      <c r="S58" s="6">
        <f t="shared" si="6"/>
        <v>8666.07</v>
      </c>
      <c r="T58" s="6">
        <f t="shared" si="7"/>
        <v>3287.13</v>
      </c>
      <c r="U58" s="5">
        <f t="shared" si="8"/>
        <v>6076.21</v>
      </c>
      <c r="V58" s="6">
        <f t="shared" si="9"/>
        <v>8076.21</v>
      </c>
      <c r="Y58" s="6">
        <f t="shared" ref="Y58" si="30">Y57+1</f>
        <v>10086</v>
      </c>
      <c r="Z58" s="6">
        <f t="shared" si="10"/>
        <v>11548.47</v>
      </c>
      <c r="AA58" s="6">
        <f t="shared" si="11"/>
        <v>8774.82</v>
      </c>
      <c r="AB58" s="6">
        <f t="shared" si="12"/>
        <v>3328.38</v>
      </c>
      <c r="AC58" s="5">
        <f t="shared" si="13"/>
        <v>6152.46</v>
      </c>
      <c r="AD58" s="6">
        <f t="shared" si="14"/>
        <v>8152.46</v>
      </c>
      <c r="AH58" s="6">
        <f t="shared" si="28"/>
        <v>9961</v>
      </c>
      <c r="AI58" s="6">
        <f t="shared" si="15"/>
        <v>11405.344999999999</v>
      </c>
      <c r="AJ58" s="6">
        <f t="shared" si="16"/>
        <v>8666.07</v>
      </c>
      <c r="AK58" s="6">
        <f t="shared" si="17"/>
        <v>3785.18</v>
      </c>
      <c r="AL58" s="5">
        <f t="shared" si="18"/>
        <v>6574.26</v>
      </c>
      <c r="AM58" s="6">
        <f t="shared" si="19"/>
        <v>8574.26</v>
      </c>
      <c r="AP58" s="6">
        <f t="shared" ref="AP58" si="31">AP57+1</f>
        <v>10086</v>
      </c>
      <c r="AQ58" s="6">
        <f t="shared" si="20"/>
        <v>11548.47</v>
      </c>
      <c r="AR58" s="6">
        <f t="shared" si="21"/>
        <v>8774.82</v>
      </c>
      <c r="AS58" s="6">
        <f t="shared" si="22"/>
        <v>3832.68</v>
      </c>
      <c r="AT58" s="5">
        <f t="shared" si="23"/>
        <v>6656.76</v>
      </c>
      <c r="AU58" s="6">
        <f t="shared" si="24"/>
        <v>8656.76</v>
      </c>
    </row>
  </sheetData>
  <mergeCells count="3">
    <mergeCell ref="D2:E2"/>
    <mergeCell ref="X2:Y2"/>
    <mergeCell ref="AM2:AN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DA20-FB8E-438A-8BB4-C0C8B5F583D7}">
  <dimension ref="I13:N25"/>
  <sheetViews>
    <sheetView topLeftCell="A10" zoomScale="97" zoomScaleNormal="97" workbookViewId="0">
      <selection activeCell="G24" sqref="G24"/>
    </sheetView>
  </sheetViews>
  <sheetFormatPr defaultRowHeight="14.4" x14ac:dyDescent="0.3"/>
  <cols>
    <col min="1" max="16384" width="8.88671875" style="6"/>
  </cols>
  <sheetData>
    <row r="13" spans="9:14" x14ac:dyDescent="0.3">
      <c r="N13" s="8" t="s">
        <v>6</v>
      </c>
    </row>
    <row r="14" spans="9:14" ht="16.2" x14ac:dyDescent="0.35">
      <c r="I14" s="5" t="s">
        <v>1</v>
      </c>
      <c r="J14" s="5" t="s">
        <v>20</v>
      </c>
      <c r="K14" s="5" t="s">
        <v>21</v>
      </c>
      <c r="L14" s="5" t="s">
        <v>22</v>
      </c>
      <c r="M14" s="5" t="s">
        <v>23</v>
      </c>
      <c r="N14" s="5" t="s">
        <v>11</v>
      </c>
    </row>
    <row r="15" spans="9:14" x14ac:dyDescent="0.3">
      <c r="I15" s="6">
        <v>10000</v>
      </c>
      <c r="J15" s="6">
        <v>0</v>
      </c>
      <c r="K15" s="6">
        <f>1.15*10000</f>
        <v>11500</v>
      </c>
      <c r="L15" s="6">
        <f>0.88*I15-0.72*J15</f>
        <v>8800</v>
      </c>
      <c r="M15" s="6">
        <f>0.29*I15-0.24*J15</f>
        <v>2900</v>
      </c>
      <c r="N15" s="6">
        <f>0.57*I15+0.48*J15</f>
        <v>5699.9999999999991</v>
      </c>
    </row>
    <row r="16" spans="9:14" x14ac:dyDescent="0.3">
      <c r="I16" s="6">
        <v>10000</v>
      </c>
      <c r="J16" s="6">
        <f>500+J15</f>
        <v>500</v>
      </c>
      <c r="K16" s="6">
        <f t="shared" ref="K16:K25" si="0">1.15*10000</f>
        <v>11500</v>
      </c>
      <c r="L16" s="6">
        <f t="shared" ref="L16:L25" si="1">0.88*I16-0.72*J16</f>
        <v>8440</v>
      </c>
      <c r="M16" s="6">
        <f t="shared" ref="M16:M25" si="2">0.29*I16-0.24*J16</f>
        <v>2780</v>
      </c>
      <c r="N16" s="6">
        <f t="shared" ref="N16:N25" si="3">0.57*I16+0.48*J16</f>
        <v>5939.9999999999991</v>
      </c>
    </row>
    <row r="17" spans="9:14" x14ac:dyDescent="0.3">
      <c r="I17" s="6">
        <v>10000</v>
      </c>
      <c r="J17" s="6">
        <f t="shared" ref="J17:J25" si="4">500+J16</f>
        <v>1000</v>
      </c>
      <c r="K17" s="6">
        <f t="shared" si="0"/>
        <v>11500</v>
      </c>
      <c r="L17" s="6">
        <f t="shared" si="1"/>
        <v>8080</v>
      </c>
      <c r="M17" s="6">
        <f t="shared" si="2"/>
        <v>2660</v>
      </c>
      <c r="N17" s="6">
        <f t="shared" si="3"/>
        <v>6179.9999999999991</v>
      </c>
    </row>
    <row r="18" spans="9:14" x14ac:dyDescent="0.3">
      <c r="I18" s="6">
        <v>10000</v>
      </c>
      <c r="J18" s="6">
        <f t="shared" si="4"/>
        <v>1500</v>
      </c>
      <c r="K18" s="6">
        <f t="shared" si="0"/>
        <v>11500</v>
      </c>
      <c r="L18" s="6">
        <f t="shared" si="1"/>
        <v>7720</v>
      </c>
      <c r="M18" s="6">
        <f t="shared" si="2"/>
        <v>2540</v>
      </c>
      <c r="N18" s="6">
        <f t="shared" si="3"/>
        <v>6419.9999999999991</v>
      </c>
    </row>
    <row r="19" spans="9:14" x14ac:dyDescent="0.3">
      <c r="I19" s="6">
        <v>10000</v>
      </c>
      <c r="J19" s="6">
        <f t="shared" si="4"/>
        <v>2000</v>
      </c>
      <c r="K19" s="6">
        <f t="shared" si="0"/>
        <v>11500</v>
      </c>
      <c r="L19" s="6">
        <f t="shared" si="1"/>
        <v>7360</v>
      </c>
      <c r="M19" s="6">
        <f t="shared" si="2"/>
        <v>2420</v>
      </c>
      <c r="N19" s="6">
        <f t="shared" si="3"/>
        <v>6659.9999999999991</v>
      </c>
    </row>
    <row r="20" spans="9:14" x14ac:dyDescent="0.3">
      <c r="I20" s="6">
        <v>10000</v>
      </c>
      <c r="J20" s="6">
        <f t="shared" si="4"/>
        <v>2500</v>
      </c>
      <c r="K20" s="6">
        <f t="shared" si="0"/>
        <v>11500</v>
      </c>
      <c r="L20" s="6">
        <f t="shared" si="1"/>
        <v>7000</v>
      </c>
      <c r="M20" s="6">
        <f t="shared" si="2"/>
        <v>2300</v>
      </c>
      <c r="N20" s="6">
        <f t="shared" si="3"/>
        <v>6899.9999999999991</v>
      </c>
    </row>
    <row r="21" spans="9:14" x14ac:dyDescent="0.3">
      <c r="I21" s="6">
        <v>10000</v>
      </c>
      <c r="J21" s="6">
        <f t="shared" si="4"/>
        <v>3000</v>
      </c>
      <c r="K21" s="6">
        <f t="shared" si="0"/>
        <v>11500</v>
      </c>
      <c r="L21" s="6">
        <f t="shared" si="1"/>
        <v>6640</v>
      </c>
      <c r="M21" s="6">
        <f t="shared" si="2"/>
        <v>2180</v>
      </c>
      <c r="N21" s="6">
        <f t="shared" si="3"/>
        <v>7139.9999999999991</v>
      </c>
    </row>
    <row r="22" spans="9:14" x14ac:dyDescent="0.3">
      <c r="I22" s="6">
        <v>10000</v>
      </c>
      <c r="J22" s="6">
        <f t="shared" si="4"/>
        <v>3500</v>
      </c>
      <c r="K22" s="6">
        <f t="shared" si="0"/>
        <v>11500</v>
      </c>
      <c r="L22" s="6">
        <f t="shared" si="1"/>
        <v>6280</v>
      </c>
      <c r="M22" s="6">
        <f t="shared" si="2"/>
        <v>2060</v>
      </c>
      <c r="N22" s="6">
        <f t="shared" si="3"/>
        <v>7379.9999999999991</v>
      </c>
    </row>
    <row r="23" spans="9:14" x14ac:dyDescent="0.3">
      <c r="I23" s="6">
        <v>10000</v>
      </c>
      <c r="J23" s="6">
        <f t="shared" si="4"/>
        <v>4000</v>
      </c>
      <c r="K23" s="6">
        <f t="shared" si="0"/>
        <v>11500</v>
      </c>
      <c r="L23" s="6">
        <f t="shared" si="1"/>
        <v>5920</v>
      </c>
      <c r="M23" s="6">
        <f t="shared" si="2"/>
        <v>1940</v>
      </c>
      <c r="N23" s="6">
        <f t="shared" si="3"/>
        <v>7619.9999999999991</v>
      </c>
    </row>
    <row r="24" spans="9:14" x14ac:dyDescent="0.3">
      <c r="I24" s="6">
        <v>10000</v>
      </c>
      <c r="J24" s="6">
        <f t="shared" si="4"/>
        <v>4500</v>
      </c>
      <c r="K24" s="6">
        <f t="shared" si="0"/>
        <v>11500</v>
      </c>
      <c r="L24" s="6">
        <f t="shared" si="1"/>
        <v>5560</v>
      </c>
      <c r="M24" s="6">
        <f t="shared" si="2"/>
        <v>1820</v>
      </c>
      <c r="N24" s="6">
        <f t="shared" si="3"/>
        <v>7859.9999999999991</v>
      </c>
    </row>
    <row r="25" spans="9:14" x14ac:dyDescent="0.3">
      <c r="I25" s="6">
        <v>10000</v>
      </c>
      <c r="J25" s="6">
        <f t="shared" si="4"/>
        <v>5000</v>
      </c>
      <c r="K25" s="6">
        <f t="shared" si="0"/>
        <v>11500</v>
      </c>
      <c r="L25" s="6">
        <f t="shared" si="1"/>
        <v>5200</v>
      </c>
      <c r="M25" s="6">
        <f t="shared" si="2"/>
        <v>1700</v>
      </c>
      <c r="N25" s="6">
        <f t="shared" si="3"/>
        <v>8099.9999999999991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Stress distribution</vt:lpstr>
      <vt:lpstr>Sand_shale Sandwitch</vt:lpstr>
      <vt:lpstr>pressure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Noushad Ahmed Khan Mahi</dc:creator>
  <cp:lastModifiedBy>MAHI</cp:lastModifiedBy>
  <dcterms:created xsi:type="dcterms:W3CDTF">2025-11-02T17:33:56Z</dcterms:created>
  <dcterms:modified xsi:type="dcterms:W3CDTF">2025-11-04T08:38:09Z</dcterms:modified>
</cp:coreProperties>
</file>