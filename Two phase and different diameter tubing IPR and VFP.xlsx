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1\Production 2\assignment\"/>
    </mc:Choice>
  </mc:AlternateContent>
  <xr:revisionPtr revIDLastSave="0" documentId="8_{FB347F37-5340-4F3A-AC36-D97332DCEE02}" xr6:coauthVersionLast="47" xr6:coauthVersionMax="47" xr10:uidLastSave="{00000000-0000-0000-0000-000000000000}"/>
  <bookViews>
    <workbookView xWindow="-108" yWindow="-108" windowWidth="23256" windowHeight="12720" activeTab="4" xr2:uid="{849D0E3B-7EF8-48D5-8E96-D5689377290C}"/>
  </bookViews>
  <sheets>
    <sheet name="Sheet1" sheetId="3" r:id="rId1"/>
    <sheet name="Sheet2" sheetId="4" r:id="rId2"/>
    <sheet name="Sheet3" sheetId="5" r:id="rId3"/>
    <sheet name="Sheet4" sheetId="6" r:id="rId4"/>
    <sheet name="Sheet5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3" i="4" l="1"/>
  <c r="O18" i="4"/>
  <c r="F10" i="2"/>
  <c r="F9" i="2"/>
  <c r="F7" i="2"/>
  <c r="B19" i="6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AS17" i="6"/>
  <c r="AW17" i="6" s="1"/>
  <c r="F17" i="6"/>
  <c r="C17" i="6"/>
  <c r="C18" i="6" s="1"/>
  <c r="B17" i="6"/>
  <c r="B18" i="6" s="1"/>
  <c r="AU16" i="6"/>
  <c r="AT16" i="6"/>
  <c r="AS16" i="6"/>
  <c r="AW16" i="6" s="1"/>
  <c r="AQ16" i="6"/>
  <c r="AJ16" i="6"/>
  <c r="AH16" i="6"/>
  <c r="V16" i="6"/>
  <c r="U16" i="6"/>
  <c r="J16" i="6"/>
  <c r="F16" i="6"/>
  <c r="D16" i="6"/>
  <c r="W16" i="6" s="1"/>
  <c r="C16" i="6"/>
  <c r="AV13" i="6"/>
  <c r="AT13" i="6"/>
  <c r="AR13" i="6"/>
  <c r="AZ12" i="6"/>
  <c r="AX12" i="6"/>
  <c r="AV12" i="6"/>
  <c r="F17" i="5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AW16" i="5"/>
  <c r="AU16" i="5"/>
  <c r="AT16" i="5"/>
  <c r="AS16" i="5"/>
  <c r="AS17" i="5" s="1"/>
  <c r="AW17" i="5" s="1"/>
  <c r="AQ16" i="5"/>
  <c r="AJ16" i="5"/>
  <c r="AH16" i="5"/>
  <c r="V16" i="5"/>
  <c r="U16" i="5"/>
  <c r="J16" i="5"/>
  <c r="F16" i="5"/>
  <c r="C16" i="5"/>
  <c r="C17" i="5" s="1"/>
  <c r="AV13" i="5"/>
  <c r="AT13" i="5"/>
  <c r="AR13" i="5"/>
  <c r="AZ12" i="5"/>
  <c r="AX12" i="5"/>
  <c r="AV12" i="5"/>
  <c r="AS17" i="4"/>
  <c r="AW17" i="4" s="1"/>
  <c r="F17" i="4"/>
  <c r="C17" i="4"/>
  <c r="D17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AW16" i="4"/>
  <c r="AU16" i="4"/>
  <c r="AT16" i="4"/>
  <c r="AS16" i="4"/>
  <c r="AQ16" i="4"/>
  <c r="AJ16" i="4"/>
  <c r="AH16" i="4"/>
  <c r="W16" i="4"/>
  <c r="V16" i="4"/>
  <c r="U16" i="4"/>
  <c r="J16" i="4"/>
  <c r="F16" i="4"/>
  <c r="D16" i="4"/>
  <c r="C16" i="4"/>
  <c r="AV13" i="4"/>
  <c r="AT13" i="4"/>
  <c r="AR13" i="4"/>
  <c r="AZ12" i="4"/>
  <c r="AX12" i="4"/>
  <c r="AV12" i="4"/>
  <c r="Q16" i="3"/>
  <c r="Q17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16" i="3"/>
  <c r="C17" i="3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J12" i="2"/>
  <c r="M12" i="2" s="1"/>
  <c r="N12" i="2" s="1"/>
  <c r="AV12" i="3"/>
  <c r="AX12" i="3"/>
  <c r="AZ12" i="3"/>
  <c r="AR13" i="3"/>
  <c r="AT13" i="3"/>
  <c r="AV13" i="3"/>
  <c r="C16" i="3"/>
  <c r="F16" i="3"/>
  <c r="J16" i="3"/>
  <c r="U16" i="3"/>
  <c r="V16" i="3"/>
  <c r="AH16" i="3"/>
  <c r="AJ16" i="3"/>
  <c r="AQ16" i="3"/>
  <c r="AS16" i="3"/>
  <c r="AT16" i="3"/>
  <c r="AU16" i="3"/>
  <c r="AW16" i="3"/>
  <c r="B17" i="3"/>
  <c r="F17" i="3"/>
  <c r="G17" i="3"/>
  <c r="AS17" i="3"/>
  <c r="AW17" i="3" s="1"/>
  <c r="B18" i="3"/>
  <c r="B19" i="3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J13" i="2"/>
  <c r="M13" i="2" s="1"/>
  <c r="N13" i="2" s="1"/>
  <c r="J14" i="2"/>
  <c r="M14" i="2" s="1"/>
  <c r="N14" i="2" s="1"/>
  <c r="J15" i="2"/>
  <c r="M15" i="2" s="1"/>
  <c r="N15" i="2" s="1"/>
  <c r="J16" i="2"/>
  <c r="M16" i="2" s="1"/>
  <c r="N16" i="2" s="1"/>
  <c r="J17" i="2"/>
  <c r="M17" i="2" s="1"/>
  <c r="N17" i="2" s="1"/>
  <c r="J18" i="2"/>
  <c r="M18" i="2" s="1"/>
  <c r="N18" i="2" s="1"/>
  <c r="J19" i="2"/>
  <c r="M19" i="2" s="1"/>
  <c r="N19" i="2" s="1"/>
  <c r="J20" i="2"/>
  <c r="M20" i="2" s="1"/>
  <c r="N20" i="2" s="1"/>
  <c r="J21" i="2"/>
  <c r="M21" i="2" s="1"/>
  <c r="N21" i="2" s="1"/>
  <c r="J22" i="2"/>
  <c r="M22" i="2" s="1"/>
  <c r="N22" i="2" s="1"/>
  <c r="Y16" i="6" l="1"/>
  <c r="G17" i="6"/>
  <c r="AR16" i="6"/>
  <c r="AV16" i="6" s="1"/>
  <c r="BH16" i="6"/>
  <c r="BM16" i="6" s="1"/>
  <c r="AY16" i="6"/>
  <c r="BD16" i="6" s="1"/>
  <c r="D18" i="6"/>
  <c r="AQ18" i="6"/>
  <c r="C19" i="6"/>
  <c r="Z16" i="6"/>
  <c r="E17" i="6"/>
  <c r="X16" i="6"/>
  <c r="D17" i="6"/>
  <c r="W18" i="6"/>
  <c r="X18" i="6"/>
  <c r="AQ17" i="6"/>
  <c r="C18" i="5"/>
  <c r="AQ17" i="5"/>
  <c r="D17" i="5"/>
  <c r="D16" i="5"/>
  <c r="X17" i="5"/>
  <c r="W16" i="5"/>
  <c r="G17" i="5"/>
  <c r="AY17" i="4"/>
  <c r="BD17" i="4" s="1"/>
  <c r="AR17" i="4"/>
  <c r="AV17" i="4" s="1"/>
  <c r="Z17" i="4"/>
  <c r="X17" i="4"/>
  <c r="E17" i="4"/>
  <c r="Z16" i="4"/>
  <c r="X16" i="4"/>
  <c r="Y16" i="4" s="1"/>
  <c r="G17" i="4"/>
  <c r="AR16" i="4"/>
  <c r="AV16" i="4" s="1"/>
  <c r="BH16" i="4" s="1"/>
  <c r="W17" i="4"/>
  <c r="Y17" i="4" s="1"/>
  <c r="C18" i="4"/>
  <c r="AQ17" i="4"/>
  <c r="BC17" i="4"/>
  <c r="D16" i="3"/>
  <c r="R16" i="3"/>
  <c r="W16" i="3"/>
  <c r="AR17" i="6" l="1"/>
  <c r="AV17" i="6" s="1"/>
  <c r="Z17" i="6"/>
  <c r="E18" i="6"/>
  <c r="X17" i="6"/>
  <c r="W17" i="6"/>
  <c r="Y17" i="6" s="1"/>
  <c r="BK16" i="6"/>
  <c r="BB16" i="6"/>
  <c r="BJ16" i="6"/>
  <c r="BA16" i="6"/>
  <c r="AZ16" i="6"/>
  <c r="BE16" i="6" s="1"/>
  <c r="BF16" i="6" s="1"/>
  <c r="BI16" i="6"/>
  <c r="BC16" i="6"/>
  <c r="Z18" i="6"/>
  <c r="AR18" i="6"/>
  <c r="AV18" i="6" s="1"/>
  <c r="Y18" i="6"/>
  <c r="D19" i="6"/>
  <c r="E19" i="6" s="1"/>
  <c r="AQ19" i="6"/>
  <c r="C20" i="6"/>
  <c r="BL16" i="6"/>
  <c r="AA16" i="6"/>
  <c r="Z16" i="5"/>
  <c r="E17" i="5"/>
  <c r="AR16" i="5"/>
  <c r="AV16" i="5" s="1"/>
  <c r="AR17" i="5"/>
  <c r="AV17" i="5" s="1"/>
  <c r="Z17" i="5"/>
  <c r="W17" i="5"/>
  <c r="Y17" i="5" s="1"/>
  <c r="D18" i="5"/>
  <c r="AQ18" i="5"/>
  <c r="C19" i="5"/>
  <c r="X16" i="5"/>
  <c r="Y16" i="5" s="1"/>
  <c r="BM16" i="4"/>
  <c r="BL16" i="4"/>
  <c r="BK16" i="4"/>
  <c r="BI17" i="4"/>
  <c r="AZ17" i="4"/>
  <c r="BA17" i="4"/>
  <c r="BJ17" i="4"/>
  <c r="AY16" i="4"/>
  <c r="BB16" i="4" s="1"/>
  <c r="BH17" i="4"/>
  <c r="AA17" i="4"/>
  <c r="D18" i="4"/>
  <c r="AQ18" i="4"/>
  <c r="C19" i="4"/>
  <c r="BB17" i="4"/>
  <c r="BI16" i="4"/>
  <c r="BJ16" i="4"/>
  <c r="AA16" i="4"/>
  <c r="AR16" i="3"/>
  <c r="AV16" i="3" s="1"/>
  <c r="E17" i="3"/>
  <c r="D17" i="3"/>
  <c r="AQ17" i="3"/>
  <c r="AA17" i="6" l="1"/>
  <c r="AA18" i="6"/>
  <c r="Z19" i="6"/>
  <c r="E20" i="6"/>
  <c r="AR19" i="6"/>
  <c r="AV19" i="6" s="1"/>
  <c r="X19" i="6"/>
  <c r="W19" i="6"/>
  <c r="Y19" i="6" s="1"/>
  <c r="BA17" i="6"/>
  <c r="BI17" i="6"/>
  <c r="AZ17" i="6"/>
  <c r="AY17" i="6"/>
  <c r="BB17" i="6" s="1"/>
  <c r="BH17" i="6"/>
  <c r="BK17" i="6" s="1"/>
  <c r="D20" i="6"/>
  <c r="C21" i="6"/>
  <c r="AQ20" i="6"/>
  <c r="BN16" i="6"/>
  <c r="BO16" i="6" s="1"/>
  <c r="BP16" i="6" s="1"/>
  <c r="BQ16" i="6" s="1"/>
  <c r="Z18" i="5"/>
  <c r="E19" i="5"/>
  <c r="AR18" i="5"/>
  <c r="AV18" i="5" s="1"/>
  <c r="W18" i="5"/>
  <c r="X18" i="5"/>
  <c r="BI16" i="5"/>
  <c r="BA16" i="5"/>
  <c r="BK16" i="5"/>
  <c r="AZ16" i="5"/>
  <c r="BJ16" i="5"/>
  <c r="BB16" i="5"/>
  <c r="AY16" i="5"/>
  <c r="BH16" i="5"/>
  <c r="C20" i="5"/>
  <c r="AQ19" i="5"/>
  <c r="D19" i="5"/>
  <c r="AA16" i="5"/>
  <c r="E18" i="5"/>
  <c r="AA17" i="5"/>
  <c r="BA17" i="5"/>
  <c r="AZ17" i="5"/>
  <c r="BH17" i="5"/>
  <c r="AY17" i="5"/>
  <c r="BB17" i="5"/>
  <c r="C20" i="4"/>
  <c r="D19" i="4"/>
  <c r="AQ19" i="4"/>
  <c r="AZ16" i="4"/>
  <c r="BN16" i="4"/>
  <c r="BO16" i="4" s="1"/>
  <c r="BD16" i="4"/>
  <c r="BC16" i="4"/>
  <c r="BE17" i="4"/>
  <c r="BF17" i="4" s="1"/>
  <c r="Z18" i="4"/>
  <c r="E19" i="4"/>
  <c r="AR18" i="4"/>
  <c r="AV18" i="4" s="1"/>
  <c r="X18" i="4"/>
  <c r="E18" i="4"/>
  <c r="W18" i="4"/>
  <c r="Y18" i="4" s="1"/>
  <c r="BA16" i="4"/>
  <c r="BM17" i="4"/>
  <c r="BK17" i="4"/>
  <c r="BL17" i="4"/>
  <c r="BN17" i="4" s="1"/>
  <c r="BO17" i="4" s="1"/>
  <c r="BP17" i="4" s="1"/>
  <c r="AQ18" i="3"/>
  <c r="D18" i="3"/>
  <c r="E18" i="3"/>
  <c r="AR17" i="3"/>
  <c r="AV17" i="3" s="1"/>
  <c r="W17" i="3"/>
  <c r="Y16" i="3"/>
  <c r="R17" i="3"/>
  <c r="AY16" i="3"/>
  <c r="AZ16" i="3" s="1"/>
  <c r="BH16" i="3"/>
  <c r="BI16" i="3" s="1"/>
  <c r="BB16" i="3"/>
  <c r="H16" i="6" l="1"/>
  <c r="Q16" i="6"/>
  <c r="R16" i="6" s="1"/>
  <c r="AB16" i="6" s="1"/>
  <c r="AC16" i="6" s="1"/>
  <c r="AD16" i="6" s="1"/>
  <c r="AA19" i="6"/>
  <c r="BJ17" i="6"/>
  <c r="BN17" i="6" s="1"/>
  <c r="BO17" i="6" s="1"/>
  <c r="D21" i="6"/>
  <c r="C22" i="6"/>
  <c r="AQ21" i="6"/>
  <c r="AR20" i="6"/>
  <c r="AV20" i="6" s="1"/>
  <c r="Z20" i="6"/>
  <c r="X20" i="6"/>
  <c r="W20" i="6"/>
  <c r="Y20" i="6" s="1"/>
  <c r="BM17" i="6"/>
  <c r="BL17" i="6"/>
  <c r="BD17" i="6"/>
  <c r="BC17" i="6"/>
  <c r="BE17" i="6" s="1"/>
  <c r="BF17" i="6" s="1"/>
  <c r="AR19" i="5"/>
  <c r="AV19" i="5" s="1"/>
  <c r="E20" i="5"/>
  <c r="Z19" i="5"/>
  <c r="X19" i="5"/>
  <c r="W19" i="5"/>
  <c r="Y19" i="5" s="1"/>
  <c r="BM17" i="5"/>
  <c r="BL17" i="5"/>
  <c r="BI17" i="5"/>
  <c r="AA18" i="5"/>
  <c r="BJ17" i="5"/>
  <c r="BK17" i="5"/>
  <c r="D20" i="5"/>
  <c r="AQ20" i="5"/>
  <c r="C21" i="5"/>
  <c r="BM16" i="5"/>
  <c r="BL16" i="5"/>
  <c r="BN16" i="5" s="1"/>
  <c r="BO16" i="5" s="1"/>
  <c r="BD17" i="5"/>
  <c r="BC17" i="5"/>
  <c r="BE17" i="5" s="1"/>
  <c r="BF17" i="5" s="1"/>
  <c r="BD16" i="5"/>
  <c r="BC16" i="5"/>
  <c r="BE16" i="5" s="1"/>
  <c r="BF16" i="5" s="1"/>
  <c r="Y18" i="5"/>
  <c r="BE16" i="4"/>
  <c r="BF16" i="4" s="1"/>
  <c r="AA18" i="4"/>
  <c r="AR19" i="4"/>
  <c r="AV19" i="4" s="1"/>
  <c r="Z19" i="4"/>
  <c r="E20" i="4"/>
  <c r="W19" i="4"/>
  <c r="Y19" i="4" s="1"/>
  <c r="X19" i="4"/>
  <c r="BQ17" i="4"/>
  <c r="C21" i="4"/>
  <c r="AQ20" i="4"/>
  <c r="D20" i="4"/>
  <c r="AA59" i="3"/>
  <c r="AA26" i="3"/>
  <c r="AA55" i="3"/>
  <c r="AA28" i="3"/>
  <c r="AA62" i="3"/>
  <c r="AA22" i="3"/>
  <c r="AA60" i="3"/>
  <c r="AA41" i="3"/>
  <c r="AA51" i="3"/>
  <c r="AA52" i="3"/>
  <c r="AA37" i="3"/>
  <c r="AA36" i="3"/>
  <c r="AA21" i="3"/>
  <c r="AA64" i="3"/>
  <c r="AA24" i="3"/>
  <c r="BM16" i="3"/>
  <c r="BL16" i="3"/>
  <c r="AA43" i="3"/>
  <c r="AA25" i="3"/>
  <c r="AA38" i="3"/>
  <c r="AA56" i="3"/>
  <c r="AA65" i="3"/>
  <c r="AA47" i="3"/>
  <c r="AA50" i="3"/>
  <c r="AA35" i="3"/>
  <c r="AA34" i="3"/>
  <c r="AA19" i="3"/>
  <c r="AA40" i="3"/>
  <c r="AA39" i="3"/>
  <c r="AA58" i="3"/>
  <c r="AA29" i="3"/>
  <c r="AA23" i="3"/>
  <c r="BJ16" i="3"/>
  <c r="BN16" i="3" s="1"/>
  <c r="BO16" i="3" s="1"/>
  <c r="BP16" i="3" s="1"/>
  <c r="AA66" i="3"/>
  <c r="AA63" i="3"/>
  <c r="AA45" i="3"/>
  <c r="AA48" i="3"/>
  <c r="AA33" i="3"/>
  <c r="AA32" i="3"/>
  <c r="AA17" i="3"/>
  <c r="AB17" i="3" s="1"/>
  <c r="AA18" i="3"/>
  <c r="BD16" i="3"/>
  <c r="BC16" i="3"/>
  <c r="AA53" i="3"/>
  <c r="BA16" i="3"/>
  <c r="BE16" i="3" s="1"/>
  <c r="BF16" i="3" s="1"/>
  <c r="AA54" i="3"/>
  <c r="AA61" i="3"/>
  <c r="AA42" i="3"/>
  <c r="AA46" i="3"/>
  <c r="AA31" i="3"/>
  <c r="AA30" i="3"/>
  <c r="AA16" i="3"/>
  <c r="AB16" i="3" s="1"/>
  <c r="AC16" i="3" s="1"/>
  <c r="AD16" i="3" s="1"/>
  <c r="AR18" i="3"/>
  <c r="AV18" i="3" s="1"/>
  <c r="Y17" i="3"/>
  <c r="W18" i="3"/>
  <c r="BK16" i="3"/>
  <c r="AA49" i="3"/>
  <c r="AA57" i="3"/>
  <c r="AA44" i="3"/>
  <c r="AA20" i="3"/>
  <c r="BH17" i="3"/>
  <c r="BJ17" i="3" s="1"/>
  <c r="AY17" i="3"/>
  <c r="BA17" i="3" s="1"/>
  <c r="AA27" i="3"/>
  <c r="D19" i="3"/>
  <c r="E19" i="3" s="1"/>
  <c r="AQ19" i="3"/>
  <c r="BP17" i="6" l="1"/>
  <c r="BQ17" i="6" s="1"/>
  <c r="C23" i="6"/>
  <c r="D22" i="6"/>
  <c r="AQ22" i="6"/>
  <c r="Z21" i="6"/>
  <c r="W21" i="6"/>
  <c r="Y21" i="6" s="1"/>
  <c r="E22" i="6"/>
  <c r="AR21" i="6"/>
  <c r="AV21" i="6" s="1"/>
  <c r="X21" i="6"/>
  <c r="AA20" i="6"/>
  <c r="AK16" i="6"/>
  <c r="AL16" i="6" s="1"/>
  <c r="AI16" i="6"/>
  <c r="E21" i="6"/>
  <c r="BQ17" i="5"/>
  <c r="BP16" i="5"/>
  <c r="BQ16" i="5" s="1"/>
  <c r="BN17" i="5"/>
  <c r="BO17" i="5" s="1"/>
  <c r="BP17" i="5" s="1"/>
  <c r="C22" i="5"/>
  <c r="AQ21" i="5"/>
  <c r="D21" i="5"/>
  <c r="AA19" i="5"/>
  <c r="Z20" i="5"/>
  <c r="E21" i="5"/>
  <c r="AR20" i="5"/>
  <c r="AV20" i="5" s="1"/>
  <c r="W20" i="5"/>
  <c r="X20" i="5"/>
  <c r="AR20" i="4"/>
  <c r="AV20" i="4" s="1"/>
  <c r="Z20" i="4"/>
  <c r="W20" i="4"/>
  <c r="X20" i="4"/>
  <c r="AA19" i="4"/>
  <c r="BP16" i="4"/>
  <c r="BQ16" i="4" s="1"/>
  <c r="D21" i="4"/>
  <c r="AQ21" i="4"/>
  <c r="C22" i="4"/>
  <c r="H17" i="4"/>
  <c r="Q17" i="4"/>
  <c r="R17" i="4" s="1"/>
  <c r="AB17" i="4" s="1"/>
  <c r="AC17" i="4" s="1"/>
  <c r="AD17" i="4" s="1"/>
  <c r="BK17" i="3"/>
  <c r="BI17" i="3"/>
  <c r="AC17" i="3"/>
  <c r="AD17" i="3" s="1"/>
  <c r="AK17" i="3" s="1"/>
  <c r="AL17" i="3" s="1"/>
  <c r="BQ16" i="3"/>
  <c r="H16" i="3" s="1"/>
  <c r="AI16" i="3"/>
  <c r="AK16" i="3"/>
  <c r="AL16" i="3" s="1"/>
  <c r="AQ20" i="3"/>
  <c r="D20" i="3"/>
  <c r="E20" i="3" s="1"/>
  <c r="AR19" i="3"/>
  <c r="AV19" i="3" s="1"/>
  <c r="Y18" i="3"/>
  <c r="W19" i="3"/>
  <c r="BD17" i="3"/>
  <c r="BC17" i="3"/>
  <c r="BB17" i="3"/>
  <c r="AZ17" i="3"/>
  <c r="BM17" i="3"/>
  <c r="BL17" i="3"/>
  <c r="AM16" i="6" l="1"/>
  <c r="AN16" i="6" s="1"/>
  <c r="AO16" i="6" s="1"/>
  <c r="L17" i="6" s="1"/>
  <c r="H17" i="6"/>
  <c r="Q17" i="6"/>
  <c r="R17" i="6" s="1"/>
  <c r="AB17" i="6" s="1"/>
  <c r="AC17" i="6" s="1"/>
  <c r="AD17" i="6" s="1"/>
  <c r="AA21" i="6"/>
  <c r="AR22" i="6"/>
  <c r="AV22" i="6" s="1"/>
  <c r="Z22" i="6"/>
  <c r="X22" i="6"/>
  <c r="W22" i="6"/>
  <c r="D23" i="6"/>
  <c r="E23" i="6" s="1"/>
  <c r="AQ23" i="6"/>
  <c r="C24" i="6"/>
  <c r="H16" i="5"/>
  <c r="Q16" i="5"/>
  <c r="R16" i="5" s="1"/>
  <c r="AB16" i="5" s="1"/>
  <c r="AC16" i="5" s="1"/>
  <c r="AD16" i="5" s="1"/>
  <c r="AA20" i="5"/>
  <c r="H17" i="5"/>
  <c r="Q17" i="5"/>
  <c r="R17" i="5" s="1"/>
  <c r="AB17" i="5" s="1"/>
  <c r="AC17" i="5" s="1"/>
  <c r="AD17" i="5" s="1"/>
  <c r="D22" i="5"/>
  <c r="AQ22" i="5"/>
  <c r="C23" i="5"/>
  <c r="AR21" i="5"/>
  <c r="AV21" i="5" s="1"/>
  <c r="E22" i="5"/>
  <c r="Z21" i="5"/>
  <c r="X21" i="5"/>
  <c r="W21" i="5"/>
  <c r="Y21" i="5" s="1"/>
  <c r="Y20" i="5"/>
  <c r="H16" i="4"/>
  <c r="I17" i="4" s="1"/>
  <c r="K17" i="4" s="1"/>
  <c r="Q16" i="4"/>
  <c r="R16" i="4" s="1"/>
  <c r="AB16" i="4" s="1"/>
  <c r="AC16" i="4" s="1"/>
  <c r="AD16" i="4" s="1"/>
  <c r="W21" i="4"/>
  <c r="Z21" i="4"/>
  <c r="AR21" i="4"/>
  <c r="AV21" i="4" s="1"/>
  <c r="X21" i="4"/>
  <c r="AA20" i="4"/>
  <c r="E21" i="4"/>
  <c r="AI17" i="4"/>
  <c r="AK17" i="4"/>
  <c r="AL17" i="4" s="1"/>
  <c r="Y20" i="4"/>
  <c r="C23" i="4"/>
  <c r="AQ22" i="4"/>
  <c r="D22" i="4"/>
  <c r="BN17" i="3"/>
  <c r="BO17" i="3" s="1"/>
  <c r="AI17" i="3"/>
  <c r="AM17" i="3" s="1"/>
  <c r="AN17" i="3" s="1"/>
  <c r="AO17" i="3" s="1"/>
  <c r="L18" i="3" s="1"/>
  <c r="BE17" i="3"/>
  <c r="BF17" i="3" s="1"/>
  <c r="D21" i="3"/>
  <c r="E21" i="3" s="1"/>
  <c r="AQ21" i="3"/>
  <c r="AR20" i="3"/>
  <c r="AV20" i="3" s="1"/>
  <c r="Y19" i="3"/>
  <c r="W20" i="3"/>
  <c r="AM16" i="3"/>
  <c r="AN16" i="3" s="1"/>
  <c r="AO16" i="3" s="1"/>
  <c r="L17" i="3" s="1"/>
  <c r="M17" i="3" s="1"/>
  <c r="AM17" i="4" l="1"/>
  <c r="AN17" i="4" s="1"/>
  <c r="AO17" i="4" s="1"/>
  <c r="L18" i="4" s="1"/>
  <c r="C25" i="6"/>
  <c r="AQ24" i="6"/>
  <c r="D24" i="6"/>
  <c r="AA22" i="6"/>
  <c r="AK17" i="6"/>
  <c r="AL17" i="6" s="1"/>
  <c r="AI17" i="6"/>
  <c r="Z23" i="6"/>
  <c r="E24" i="6"/>
  <c r="AR23" i="6"/>
  <c r="AV23" i="6" s="1"/>
  <c r="X23" i="6"/>
  <c r="W23" i="6"/>
  <c r="Y23" i="6" s="1"/>
  <c r="Y22" i="6"/>
  <c r="I17" i="6"/>
  <c r="AK16" i="5"/>
  <c r="AL16" i="5" s="1"/>
  <c r="AI16" i="5"/>
  <c r="I17" i="5"/>
  <c r="K17" i="5" s="1"/>
  <c r="AK17" i="5"/>
  <c r="AL17" i="5" s="1"/>
  <c r="AI17" i="5"/>
  <c r="AA21" i="5"/>
  <c r="C24" i="5"/>
  <c r="AQ23" i="5"/>
  <c r="D23" i="5"/>
  <c r="Z22" i="5"/>
  <c r="AR22" i="5"/>
  <c r="AV22" i="5" s="1"/>
  <c r="X22" i="5"/>
  <c r="W22" i="5"/>
  <c r="Y22" i="5" s="1"/>
  <c r="AK16" i="4"/>
  <c r="AL16" i="4" s="1"/>
  <c r="AI16" i="4"/>
  <c r="D23" i="4"/>
  <c r="AQ23" i="4"/>
  <c r="C24" i="4"/>
  <c r="AA21" i="4"/>
  <c r="E23" i="4"/>
  <c r="AR22" i="4"/>
  <c r="AV22" i="4" s="1"/>
  <c r="Z22" i="4"/>
  <c r="W22" i="4"/>
  <c r="Y22" i="4" s="1"/>
  <c r="X22" i="4"/>
  <c r="Y21" i="4"/>
  <c r="E22" i="4"/>
  <c r="BP17" i="3"/>
  <c r="BQ17" i="3" s="1"/>
  <c r="H17" i="3" s="1"/>
  <c r="AQ22" i="3"/>
  <c r="D22" i="3"/>
  <c r="E22" i="3" s="1"/>
  <c r="AR21" i="3"/>
  <c r="AV21" i="3" s="1"/>
  <c r="Y20" i="3"/>
  <c r="W21" i="3"/>
  <c r="AM17" i="5" l="1"/>
  <c r="AN17" i="5" s="1"/>
  <c r="AO17" i="5" s="1"/>
  <c r="L18" i="5" s="1"/>
  <c r="AM17" i="6"/>
  <c r="AN17" i="6" s="1"/>
  <c r="AO17" i="6" s="1"/>
  <c r="L18" i="6" s="1"/>
  <c r="AM16" i="5"/>
  <c r="AN16" i="5" s="1"/>
  <c r="AO16" i="5" s="1"/>
  <c r="L17" i="5" s="1"/>
  <c r="M17" i="5" s="1"/>
  <c r="N17" i="5" s="1"/>
  <c r="O17" i="5" s="1"/>
  <c r="F18" i="5" s="1"/>
  <c r="AM16" i="4"/>
  <c r="AN16" i="4" s="1"/>
  <c r="AO16" i="4" s="1"/>
  <c r="L17" i="4" s="1"/>
  <c r="M17" i="4" s="1"/>
  <c r="N17" i="4" s="1"/>
  <c r="O17" i="4" s="1"/>
  <c r="F18" i="4" s="1"/>
  <c r="G18" i="4" s="1"/>
  <c r="AA23" i="6"/>
  <c r="K17" i="6"/>
  <c r="M17" i="6"/>
  <c r="AR24" i="6"/>
  <c r="AV24" i="6" s="1"/>
  <c r="Z24" i="6"/>
  <c r="W24" i="6"/>
  <c r="Y24" i="6" s="1"/>
  <c r="X24" i="6"/>
  <c r="D25" i="6"/>
  <c r="E25" i="6" s="1"/>
  <c r="C26" i="6"/>
  <c r="AQ25" i="6"/>
  <c r="AA22" i="5"/>
  <c r="AR23" i="5"/>
  <c r="AV23" i="5" s="1"/>
  <c r="Z23" i="5"/>
  <c r="E24" i="5"/>
  <c r="W23" i="5"/>
  <c r="X23" i="5"/>
  <c r="D24" i="5"/>
  <c r="C25" i="5"/>
  <c r="AQ24" i="5"/>
  <c r="E23" i="5"/>
  <c r="C25" i="4"/>
  <c r="AQ24" i="4"/>
  <c r="D24" i="4"/>
  <c r="AA22" i="4"/>
  <c r="AR23" i="4"/>
  <c r="AV23" i="4" s="1"/>
  <c r="Z23" i="4"/>
  <c r="W23" i="4"/>
  <c r="Y23" i="4" s="1"/>
  <c r="X23" i="4"/>
  <c r="D23" i="3"/>
  <c r="E23" i="3" s="1"/>
  <c r="AQ23" i="3"/>
  <c r="I17" i="3"/>
  <c r="AR22" i="3"/>
  <c r="AV22" i="3" s="1"/>
  <c r="Y21" i="3"/>
  <c r="W22" i="3"/>
  <c r="AS18" i="4" l="1"/>
  <c r="AW18" i="4" s="1"/>
  <c r="BH18" i="4" s="1"/>
  <c r="AA24" i="6"/>
  <c r="C27" i="6"/>
  <c r="AQ26" i="6"/>
  <c r="D26" i="6"/>
  <c r="Z25" i="6"/>
  <c r="E26" i="6"/>
  <c r="AR25" i="6"/>
  <c r="AV25" i="6" s="1"/>
  <c r="W25" i="6"/>
  <c r="X25" i="6"/>
  <c r="N17" i="6"/>
  <c r="O17" i="6" s="1"/>
  <c r="F18" i="6" s="1"/>
  <c r="G18" i="5"/>
  <c r="AS18" i="5"/>
  <c r="AW18" i="5" s="1"/>
  <c r="Y23" i="5"/>
  <c r="C26" i="5"/>
  <c r="AQ25" i="5"/>
  <c r="D25" i="5"/>
  <c r="Z24" i="5"/>
  <c r="E25" i="5"/>
  <c r="AR24" i="5"/>
  <c r="AV24" i="5" s="1"/>
  <c r="W24" i="5"/>
  <c r="Y24" i="5" s="1"/>
  <c r="X24" i="5"/>
  <c r="AA23" i="5"/>
  <c r="AQ25" i="4"/>
  <c r="D25" i="4"/>
  <c r="C26" i="4"/>
  <c r="E25" i="4"/>
  <c r="Z24" i="4"/>
  <c r="AR24" i="4"/>
  <c r="AV24" i="4" s="1"/>
  <c r="X24" i="4"/>
  <c r="W24" i="4"/>
  <c r="AA23" i="4"/>
  <c r="E24" i="4"/>
  <c r="AY18" i="4"/>
  <c r="K17" i="3"/>
  <c r="AQ24" i="3"/>
  <c r="D24" i="3"/>
  <c r="E24" i="3" s="1"/>
  <c r="AR23" i="3"/>
  <c r="AV23" i="3" s="1"/>
  <c r="Y22" i="3"/>
  <c r="W23" i="3"/>
  <c r="Y25" i="6" l="1"/>
  <c r="AA25" i="6"/>
  <c r="AR26" i="6"/>
  <c r="AV26" i="6" s="1"/>
  <c r="Z26" i="6"/>
  <c r="W26" i="6"/>
  <c r="X26" i="6"/>
  <c r="AS18" i="6"/>
  <c r="AW18" i="6" s="1"/>
  <c r="G18" i="6"/>
  <c r="D27" i="6"/>
  <c r="C28" i="6"/>
  <c r="AQ27" i="6"/>
  <c r="D26" i="5"/>
  <c r="AQ26" i="5"/>
  <c r="C27" i="5"/>
  <c r="BH18" i="5"/>
  <c r="AY18" i="5"/>
  <c r="AA24" i="5"/>
  <c r="AR25" i="5"/>
  <c r="AV25" i="5" s="1"/>
  <c r="E26" i="5"/>
  <c r="Z25" i="5"/>
  <c r="X25" i="5"/>
  <c r="W25" i="5"/>
  <c r="Y25" i="5" s="1"/>
  <c r="AA24" i="4"/>
  <c r="BM18" i="4"/>
  <c r="BL18" i="4"/>
  <c r="BJ18" i="4"/>
  <c r="BK18" i="4"/>
  <c r="BI18" i="4"/>
  <c r="C27" i="4"/>
  <c r="AQ26" i="4"/>
  <c r="D26" i="4"/>
  <c r="Z25" i="4"/>
  <c r="X25" i="4"/>
  <c r="AR25" i="4"/>
  <c r="AV25" i="4" s="1"/>
  <c r="W25" i="4"/>
  <c r="Y25" i="4" s="1"/>
  <c r="BD18" i="4"/>
  <c r="BC18" i="4"/>
  <c r="AZ18" i="4"/>
  <c r="BA18" i="4"/>
  <c r="BB18" i="4"/>
  <c r="Y24" i="4"/>
  <c r="N17" i="3"/>
  <c r="O17" i="3" s="1"/>
  <c r="F18" i="3" s="1"/>
  <c r="D25" i="3"/>
  <c r="E25" i="3" s="1"/>
  <c r="AQ25" i="3"/>
  <c r="AR24" i="3"/>
  <c r="AV24" i="3" s="1"/>
  <c r="Y23" i="3"/>
  <c r="W24" i="3"/>
  <c r="BE18" i="4" l="1"/>
  <c r="BF18" i="4" s="1"/>
  <c r="Y26" i="6"/>
  <c r="C29" i="6"/>
  <c r="AQ28" i="6"/>
  <c r="D28" i="6"/>
  <c r="AA26" i="6"/>
  <c r="BH18" i="6"/>
  <c r="AY18" i="6"/>
  <c r="Z27" i="6"/>
  <c r="E28" i="6"/>
  <c r="AR27" i="6"/>
  <c r="AV27" i="6" s="1"/>
  <c r="X27" i="6"/>
  <c r="W27" i="6"/>
  <c r="Y27" i="6" s="1"/>
  <c r="E27" i="6"/>
  <c r="BD18" i="5"/>
  <c r="BC18" i="5"/>
  <c r="AZ18" i="5"/>
  <c r="BB18" i="5"/>
  <c r="BA18" i="5"/>
  <c r="AA25" i="5"/>
  <c r="C28" i="5"/>
  <c r="AQ27" i="5"/>
  <c r="D27" i="5"/>
  <c r="BM18" i="5"/>
  <c r="BL18" i="5"/>
  <c r="BJ18" i="5"/>
  <c r="BI18" i="5"/>
  <c r="BK18" i="5"/>
  <c r="Z26" i="5"/>
  <c r="E27" i="5"/>
  <c r="AR26" i="5"/>
  <c r="AV26" i="5" s="1"/>
  <c r="X26" i="5"/>
  <c r="W26" i="5"/>
  <c r="Y26" i="5" s="1"/>
  <c r="AA25" i="4"/>
  <c r="BN18" i="4"/>
  <c r="BO18" i="4" s="1"/>
  <c r="BP18" i="4" s="1"/>
  <c r="BQ18" i="4" s="1"/>
  <c r="AR26" i="4"/>
  <c r="AV26" i="4" s="1"/>
  <c r="Z26" i="4"/>
  <c r="W26" i="4"/>
  <c r="X26" i="4"/>
  <c r="E26" i="4"/>
  <c r="C28" i="4"/>
  <c r="D27" i="4"/>
  <c r="AQ27" i="4"/>
  <c r="G18" i="3"/>
  <c r="AS18" i="3"/>
  <c r="AW18" i="3" s="1"/>
  <c r="AY18" i="3" s="1"/>
  <c r="AQ26" i="3"/>
  <c r="D26" i="3"/>
  <c r="E26" i="3" s="1"/>
  <c r="W25" i="3"/>
  <c r="AR25" i="3"/>
  <c r="AV25" i="3" s="1"/>
  <c r="Y24" i="3"/>
  <c r="D29" i="6" l="1"/>
  <c r="C30" i="6"/>
  <c r="AQ29" i="6"/>
  <c r="BD18" i="6"/>
  <c r="BC18" i="6"/>
  <c r="BA18" i="6"/>
  <c r="AZ18" i="6"/>
  <c r="BB18" i="6"/>
  <c r="BM18" i="6"/>
  <c r="BL18" i="6"/>
  <c r="BK18" i="6"/>
  <c r="BI18" i="6"/>
  <c r="BJ18" i="6"/>
  <c r="E29" i="6"/>
  <c r="AR28" i="6"/>
  <c r="AV28" i="6" s="1"/>
  <c r="Z28" i="6"/>
  <c r="W28" i="6"/>
  <c r="X28" i="6"/>
  <c r="AA27" i="6"/>
  <c r="BE18" i="5"/>
  <c r="BF18" i="5" s="1"/>
  <c r="AA26" i="5"/>
  <c r="D28" i="5"/>
  <c r="C29" i="5"/>
  <c r="AQ28" i="5"/>
  <c r="AR27" i="5"/>
  <c r="AV27" i="5" s="1"/>
  <c r="Z27" i="5"/>
  <c r="W27" i="5"/>
  <c r="Y27" i="5" s="1"/>
  <c r="X27" i="5"/>
  <c r="BN18" i="5"/>
  <c r="BO18" i="5" s="1"/>
  <c r="BP18" i="5" s="1"/>
  <c r="Y26" i="4"/>
  <c r="AA26" i="4"/>
  <c r="Z27" i="4"/>
  <c r="E28" i="4"/>
  <c r="W27" i="4"/>
  <c r="X27" i="4"/>
  <c r="AR27" i="4"/>
  <c r="AV27" i="4" s="1"/>
  <c r="C29" i="4"/>
  <c r="AQ28" i="4"/>
  <c r="D28" i="4"/>
  <c r="E27" i="4"/>
  <c r="H18" i="4"/>
  <c r="Q18" i="4"/>
  <c r="R18" i="4" s="1"/>
  <c r="AB18" i="4" s="1"/>
  <c r="AC18" i="4" s="1"/>
  <c r="AD18" i="4" s="1"/>
  <c r="BH18" i="3"/>
  <c r="BL18" i="3" s="1"/>
  <c r="AR26" i="3"/>
  <c r="AV26" i="3" s="1"/>
  <c r="Y25" i="3"/>
  <c r="W26" i="3"/>
  <c r="BC18" i="3"/>
  <c r="BD18" i="3"/>
  <c r="BA18" i="3"/>
  <c r="BB18" i="3"/>
  <c r="AZ18" i="3"/>
  <c r="D27" i="3"/>
  <c r="AQ27" i="3"/>
  <c r="BJ18" i="3" l="1"/>
  <c r="BI18" i="3"/>
  <c r="BM18" i="3"/>
  <c r="BK18" i="3"/>
  <c r="BE18" i="6"/>
  <c r="BF18" i="6" s="1"/>
  <c r="BN18" i="6"/>
  <c r="BO18" i="6" s="1"/>
  <c r="Y28" i="6"/>
  <c r="C31" i="6"/>
  <c r="AQ30" i="6"/>
  <c r="D30" i="6"/>
  <c r="AA28" i="6"/>
  <c r="Z29" i="6"/>
  <c r="E30" i="6"/>
  <c r="AR29" i="6"/>
  <c r="AV29" i="6" s="1"/>
  <c r="X29" i="6"/>
  <c r="W29" i="6"/>
  <c r="BQ18" i="5"/>
  <c r="Z28" i="5"/>
  <c r="AR28" i="5"/>
  <c r="AV28" i="5" s="1"/>
  <c r="W28" i="5"/>
  <c r="X28" i="5"/>
  <c r="AA27" i="5"/>
  <c r="E28" i="5"/>
  <c r="C30" i="5"/>
  <c r="AQ29" i="5"/>
  <c r="D29" i="5"/>
  <c r="Y27" i="4"/>
  <c r="AR28" i="4"/>
  <c r="AV28" i="4" s="1"/>
  <c r="Z28" i="4"/>
  <c r="W28" i="4"/>
  <c r="X28" i="4"/>
  <c r="AQ29" i="4"/>
  <c r="D29" i="4"/>
  <c r="C30" i="4"/>
  <c r="AI18" i="4"/>
  <c r="AK18" i="4"/>
  <c r="AL18" i="4" s="1"/>
  <c r="AA27" i="4"/>
  <c r="I18" i="4"/>
  <c r="AR27" i="3"/>
  <c r="AV27" i="3" s="1"/>
  <c r="W27" i="3"/>
  <c r="Y26" i="3"/>
  <c r="E27" i="3"/>
  <c r="BE18" i="3"/>
  <c r="BF18" i="3" s="1"/>
  <c r="AQ28" i="3"/>
  <c r="D28" i="3"/>
  <c r="E28" i="3" s="1"/>
  <c r="BN18" i="3" l="1"/>
  <c r="BO18" i="3" s="1"/>
  <c r="BP18" i="3" s="1"/>
  <c r="BQ18" i="3" s="1"/>
  <c r="BP18" i="6"/>
  <c r="BQ18" i="6" s="1"/>
  <c r="C32" i="6"/>
  <c r="AQ31" i="6"/>
  <c r="D31" i="6"/>
  <c r="AA29" i="6"/>
  <c r="E31" i="6"/>
  <c r="AR30" i="6"/>
  <c r="AV30" i="6" s="1"/>
  <c r="Z30" i="6"/>
  <c r="W30" i="6"/>
  <c r="X30" i="6"/>
  <c r="Y29" i="6"/>
  <c r="Y28" i="5"/>
  <c r="AR29" i="5"/>
  <c r="AV29" i="5" s="1"/>
  <c r="Z29" i="5"/>
  <c r="X29" i="5"/>
  <c r="W29" i="5"/>
  <c r="Y29" i="5" s="1"/>
  <c r="E29" i="5"/>
  <c r="AA28" i="5"/>
  <c r="D30" i="5"/>
  <c r="C31" i="5"/>
  <c r="AQ30" i="5"/>
  <c r="H18" i="5"/>
  <c r="Q18" i="5"/>
  <c r="R18" i="5" s="1"/>
  <c r="AB18" i="5" s="1"/>
  <c r="AC18" i="5" s="1"/>
  <c r="AD18" i="5" s="1"/>
  <c r="C31" i="4"/>
  <c r="AQ30" i="4"/>
  <c r="D30" i="4"/>
  <c r="AR29" i="4"/>
  <c r="AV29" i="4" s="1"/>
  <c r="Z29" i="4"/>
  <c r="E30" i="4"/>
  <c r="X29" i="4"/>
  <c r="W29" i="4"/>
  <c r="Y29" i="4" s="1"/>
  <c r="K18" i="4"/>
  <c r="M18" i="4"/>
  <c r="Y28" i="4"/>
  <c r="AA28" i="4"/>
  <c r="E29" i="4"/>
  <c r="AM18" i="4"/>
  <c r="AN18" i="4" s="1"/>
  <c r="AO18" i="4" s="1"/>
  <c r="L19" i="4" s="1"/>
  <c r="W28" i="3"/>
  <c r="AR28" i="3"/>
  <c r="AV28" i="3" s="1"/>
  <c r="Y27" i="3"/>
  <c r="D29" i="3"/>
  <c r="AQ29" i="3"/>
  <c r="Y30" i="6" l="1"/>
  <c r="AA30" i="6"/>
  <c r="H18" i="6"/>
  <c r="Q18" i="6"/>
  <c r="R18" i="6" s="1"/>
  <c r="AB18" i="6" s="1"/>
  <c r="AC18" i="6" s="1"/>
  <c r="AD18" i="6" s="1"/>
  <c r="E32" i="6"/>
  <c r="AR31" i="6"/>
  <c r="AV31" i="6" s="1"/>
  <c r="Z31" i="6"/>
  <c r="X31" i="6"/>
  <c r="W31" i="6"/>
  <c r="C33" i="6"/>
  <c r="D32" i="6"/>
  <c r="AQ32" i="6"/>
  <c r="Z30" i="5"/>
  <c r="AR30" i="5"/>
  <c r="AV30" i="5" s="1"/>
  <c r="W30" i="5"/>
  <c r="X30" i="5"/>
  <c r="AA29" i="5"/>
  <c r="I18" i="5"/>
  <c r="AK18" i="5"/>
  <c r="AL18" i="5" s="1"/>
  <c r="AI18" i="5"/>
  <c r="E30" i="5"/>
  <c r="C32" i="5"/>
  <c r="AQ31" i="5"/>
  <c r="D31" i="5"/>
  <c r="AR30" i="4"/>
  <c r="AV30" i="4" s="1"/>
  <c r="Z30" i="4"/>
  <c r="W30" i="4"/>
  <c r="Y30" i="4" s="1"/>
  <c r="X30" i="4"/>
  <c r="AA29" i="4"/>
  <c r="N18" i="4"/>
  <c r="F19" i="4" s="1"/>
  <c r="AQ31" i="4"/>
  <c r="D31" i="4"/>
  <c r="C32" i="4"/>
  <c r="H18" i="3"/>
  <c r="I18" i="3" s="1"/>
  <c r="M18" i="3" s="1"/>
  <c r="Q18" i="3"/>
  <c r="R18" i="3" s="1"/>
  <c r="AB18" i="3" s="1"/>
  <c r="AC18" i="3" s="1"/>
  <c r="AD18" i="3" s="1"/>
  <c r="AR29" i="3"/>
  <c r="AV29" i="3" s="1"/>
  <c r="W29" i="3"/>
  <c r="Y28" i="3"/>
  <c r="E29" i="3"/>
  <c r="D30" i="3"/>
  <c r="AQ30" i="3"/>
  <c r="AA31" i="6" l="1"/>
  <c r="AK18" i="6"/>
  <c r="AL18" i="6" s="1"/>
  <c r="AI18" i="6"/>
  <c r="Z32" i="6"/>
  <c r="AR32" i="6"/>
  <c r="AV32" i="6" s="1"/>
  <c r="W32" i="6"/>
  <c r="Y32" i="6" s="1"/>
  <c r="X32" i="6"/>
  <c r="C34" i="6"/>
  <c r="AQ33" i="6"/>
  <c r="D33" i="6"/>
  <c r="E33" i="6" s="1"/>
  <c r="I18" i="6"/>
  <c r="Y31" i="6"/>
  <c r="K18" i="5"/>
  <c r="M18" i="5"/>
  <c r="AR31" i="5"/>
  <c r="AV31" i="5" s="1"/>
  <c r="Z31" i="5"/>
  <c r="X31" i="5"/>
  <c r="W31" i="5"/>
  <c r="Y31" i="5" s="1"/>
  <c r="D32" i="5"/>
  <c r="AQ32" i="5"/>
  <c r="C33" i="5"/>
  <c r="Y30" i="5"/>
  <c r="AM18" i="5"/>
  <c r="AN18" i="5" s="1"/>
  <c r="AO18" i="5" s="1"/>
  <c r="L19" i="5" s="1"/>
  <c r="E31" i="5"/>
  <c r="AA30" i="5"/>
  <c r="D32" i="4"/>
  <c r="AQ32" i="4"/>
  <c r="C33" i="4"/>
  <c r="AA30" i="4"/>
  <c r="AR31" i="4"/>
  <c r="AV31" i="4" s="1"/>
  <c r="Z31" i="4"/>
  <c r="W31" i="4"/>
  <c r="X31" i="4"/>
  <c r="E31" i="4"/>
  <c r="AS19" i="4"/>
  <c r="AW19" i="4" s="1"/>
  <c r="G19" i="4"/>
  <c r="AI18" i="3"/>
  <c r="AK18" i="3"/>
  <c r="AL18" i="3" s="1"/>
  <c r="AR30" i="3"/>
  <c r="AV30" i="3" s="1"/>
  <c r="W30" i="3"/>
  <c r="Y29" i="3"/>
  <c r="E30" i="3"/>
  <c r="D31" i="3"/>
  <c r="E31" i="3" s="1"/>
  <c r="AQ31" i="3"/>
  <c r="K18" i="3"/>
  <c r="D34" i="6" l="1"/>
  <c r="C35" i="6"/>
  <c r="AQ34" i="6"/>
  <c r="AA32" i="6"/>
  <c r="K18" i="6"/>
  <c r="M18" i="6"/>
  <c r="Z33" i="6"/>
  <c r="E34" i="6"/>
  <c r="X33" i="6"/>
  <c r="AR33" i="6"/>
  <c r="AV33" i="6" s="1"/>
  <c r="W33" i="6"/>
  <c r="Y33" i="6" s="1"/>
  <c r="AM18" i="6"/>
  <c r="AN18" i="6" s="1"/>
  <c r="AO18" i="6" s="1"/>
  <c r="L19" i="6" s="1"/>
  <c r="C34" i="5"/>
  <c r="AQ33" i="5"/>
  <c r="D33" i="5"/>
  <c r="Z32" i="5"/>
  <c r="E33" i="5"/>
  <c r="AR32" i="5"/>
  <c r="AV32" i="5" s="1"/>
  <c r="X32" i="5"/>
  <c r="W32" i="5"/>
  <c r="Y32" i="5" s="1"/>
  <c r="AA31" i="5"/>
  <c r="N18" i="5"/>
  <c r="O18" i="5" s="1"/>
  <c r="F19" i="5" s="1"/>
  <c r="E32" i="5"/>
  <c r="Z32" i="4"/>
  <c r="AR32" i="4"/>
  <c r="AV32" i="4" s="1"/>
  <c r="X32" i="4"/>
  <c r="W32" i="4"/>
  <c r="Y32" i="4" s="1"/>
  <c r="E32" i="4"/>
  <c r="AQ33" i="4"/>
  <c r="C34" i="4"/>
  <c r="D33" i="4"/>
  <c r="E33" i="4" s="1"/>
  <c r="Y31" i="4"/>
  <c r="AA31" i="4"/>
  <c r="BH19" i="4"/>
  <c r="AY19" i="4"/>
  <c r="AM18" i="3"/>
  <c r="AN18" i="3" s="1"/>
  <c r="AO18" i="3" s="1"/>
  <c r="L19" i="3" s="1"/>
  <c r="D32" i="3"/>
  <c r="AQ32" i="3"/>
  <c r="AR31" i="3"/>
  <c r="AV31" i="3" s="1"/>
  <c r="W31" i="3"/>
  <c r="Y30" i="3"/>
  <c r="N18" i="3"/>
  <c r="O18" i="3" s="1"/>
  <c r="F19" i="3" s="1"/>
  <c r="AA33" i="6" l="1"/>
  <c r="AQ35" i="6"/>
  <c r="C36" i="6"/>
  <c r="D35" i="6"/>
  <c r="N18" i="6"/>
  <c r="O18" i="6" s="1"/>
  <c r="F19" i="6" s="1"/>
  <c r="E35" i="6"/>
  <c r="AR34" i="6"/>
  <c r="AV34" i="6" s="1"/>
  <c r="Z34" i="6"/>
  <c r="X34" i="6"/>
  <c r="W34" i="6"/>
  <c r="AS19" i="5"/>
  <c r="AW19" i="5" s="1"/>
  <c r="G19" i="5"/>
  <c r="AA32" i="5"/>
  <c r="D34" i="5"/>
  <c r="AQ34" i="5"/>
  <c r="C35" i="5"/>
  <c r="AR33" i="5"/>
  <c r="AV33" i="5" s="1"/>
  <c r="Z33" i="5"/>
  <c r="E34" i="5"/>
  <c r="W33" i="5"/>
  <c r="Y33" i="5" s="1"/>
  <c r="X33" i="5"/>
  <c r="D34" i="4"/>
  <c r="AQ34" i="4"/>
  <c r="C35" i="4"/>
  <c r="BD19" i="4"/>
  <c r="BC19" i="4"/>
  <c r="AZ19" i="4"/>
  <c r="BA19" i="4"/>
  <c r="BB19" i="4"/>
  <c r="BM19" i="4"/>
  <c r="BL19" i="4"/>
  <c r="BI19" i="4"/>
  <c r="BJ19" i="4"/>
  <c r="BK19" i="4"/>
  <c r="AR33" i="4"/>
  <c r="AV33" i="4" s="1"/>
  <c r="Z33" i="4"/>
  <c r="W33" i="4"/>
  <c r="Y33" i="4" s="1"/>
  <c r="X33" i="4"/>
  <c r="AA32" i="4"/>
  <c r="AR32" i="3"/>
  <c r="AV32" i="3" s="1"/>
  <c r="W32" i="3"/>
  <c r="E32" i="3"/>
  <c r="Y31" i="3"/>
  <c r="AS19" i="3"/>
  <c r="AW19" i="3" s="1"/>
  <c r="G19" i="3"/>
  <c r="D33" i="3"/>
  <c r="E33" i="3" s="1"/>
  <c r="AQ33" i="3"/>
  <c r="AS19" i="6" l="1"/>
  <c r="AW19" i="6" s="1"/>
  <c r="G19" i="6"/>
  <c r="D36" i="6"/>
  <c r="AQ36" i="6"/>
  <c r="C37" i="6"/>
  <c r="Y34" i="6"/>
  <c r="AR35" i="6"/>
  <c r="AV35" i="6" s="1"/>
  <c r="E36" i="6"/>
  <c r="Z35" i="6"/>
  <c r="X35" i="6"/>
  <c r="W35" i="6"/>
  <c r="Y35" i="6" s="1"/>
  <c r="AA34" i="6"/>
  <c r="AQ35" i="5"/>
  <c r="C36" i="5"/>
  <c r="D35" i="5"/>
  <c r="Z34" i="5"/>
  <c r="AR34" i="5"/>
  <c r="AV34" i="5" s="1"/>
  <c r="X34" i="5"/>
  <c r="W34" i="5"/>
  <c r="Y34" i="5" s="1"/>
  <c r="AA33" i="5"/>
  <c r="BH19" i="5"/>
  <c r="AY19" i="5"/>
  <c r="Z34" i="4"/>
  <c r="E35" i="4"/>
  <c r="AR34" i="4"/>
  <c r="AV34" i="4" s="1"/>
  <c r="X34" i="4"/>
  <c r="W34" i="4"/>
  <c r="Y34" i="4" s="1"/>
  <c r="E34" i="4"/>
  <c r="AA33" i="4"/>
  <c r="BE19" i="4"/>
  <c r="BF19" i="4" s="1"/>
  <c r="BN19" i="4"/>
  <c r="BO19" i="4" s="1"/>
  <c r="AQ35" i="4"/>
  <c r="D35" i="4"/>
  <c r="C36" i="4"/>
  <c r="AY19" i="3"/>
  <c r="BH19" i="3"/>
  <c r="AR33" i="3"/>
  <c r="AV33" i="3" s="1"/>
  <c r="Y32" i="3"/>
  <c r="W33" i="3"/>
  <c r="D34" i="3"/>
  <c r="E34" i="3" s="1"/>
  <c r="AQ34" i="3"/>
  <c r="BP19" i="4" l="1"/>
  <c r="AR36" i="6"/>
  <c r="AV36" i="6" s="1"/>
  <c r="Z36" i="6"/>
  <c r="X36" i="6"/>
  <c r="W36" i="6"/>
  <c r="D37" i="6"/>
  <c r="C38" i="6"/>
  <c r="AQ37" i="6"/>
  <c r="BH19" i="6"/>
  <c r="AY19" i="6"/>
  <c r="AA35" i="6"/>
  <c r="BD19" i="5"/>
  <c r="BC19" i="5"/>
  <c r="AZ19" i="5"/>
  <c r="BB19" i="5"/>
  <c r="BA19" i="5"/>
  <c r="E36" i="5"/>
  <c r="AR35" i="5"/>
  <c r="AV35" i="5" s="1"/>
  <c r="Z35" i="5"/>
  <c r="W35" i="5"/>
  <c r="X35" i="5"/>
  <c r="E35" i="5"/>
  <c r="BM19" i="5"/>
  <c r="BL19" i="5"/>
  <c r="BI19" i="5"/>
  <c r="BK19" i="5"/>
  <c r="BJ19" i="5"/>
  <c r="AA34" i="5"/>
  <c r="D36" i="5"/>
  <c r="AQ36" i="5"/>
  <c r="C37" i="5"/>
  <c r="BQ19" i="4"/>
  <c r="AA34" i="4"/>
  <c r="D36" i="4"/>
  <c r="C37" i="4"/>
  <c r="AQ36" i="4"/>
  <c r="AR35" i="4"/>
  <c r="AV35" i="4" s="1"/>
  <c r="E36" i="4"/>
  <c r="Z35" i="4"/>
  <c r="X35" i="4"/>
  <c r="W35" i="4"/>
  <c r="D35" i="3"/>
  <c r="AQ35" i="3"/>
  <c r="BM19" i="3"/>
  <c r="BL19" i="3"/>
  <c r="BJ19" i="3"/>
  <c r="BK19" i="3"/>
  <c r="BI19" i="3"/>
  <c r="AR34" i="3"/>
  <c r="AV34" i="3" s="1"/>
  <c r="W34" i="3"/>
  <c r="Y33" i="3"/>
  <c r="E35" i="3"/>
  <c r="BD19" i="3"/>
  <c r="BC19" i="3"/>
  <c r="BB19" i="3"/>
  <c r="BA19" i="3"/>
  <c r="AZ19" i="3"/>
  <c r="AA36" i="6" l="1"/>
  <c r="C39" i="6"/>
  <c r="AQ38" i="6"/>
  <c r="D38" i="6"/>
  <c r="Z37" i="6"/>
  <c r="E38" i="6"/>
  <c r="AR37" i="6"/>
  <c r="AV37" i="6" s="1"/>
  <c r="W37" i="6"/>
  <c r="X37" i="6"/>
  <c r="Y36" i="6"/>
  <c r="BD19" i="6"/>
  <c r="BC19" i="6"/>
  <c r="BA19" i="6"/>
  <c r="AZ19" i="6"/>
  <c r="BB19" i="6"/>
  <c r="BM19" i="6"/>
  <c r="BL19" i="6"/>
  <c r="BJ19" i="6"/>
  <c r="BK19" i="6"/>
  <c r="BI19" i="6"/>
  <c r="E37" i="6"/>
  <c r="BN19" i="5"/>
  <c r="BO19" i="5" s="1"/>
  <c r="AA35" i="5"/>
  <c r="Y35" i="5"/>
  <c r="AQ37" i="5"/>
  <c r="C38" i="5"/>
  <c r="D37" i="5"/>
  <c r="Z36" i="5"/>
  <c r="E37" i="5"/>
  <c r="AR36" i="5"/>
  <c r="AV36" i="5" s="1"/>
  <c r="X36" i="5"/>
  <c r="W36" i="5"/>
  <c r="Y36" i="5" s="1"/>
  <c r="BE19" i="5"/>
  <c r="BF19" i="5" s="1"/>
  <c r="AA35" i="4"/>
  <c r="H19" i="4"/>
  <c r="Q19" i="4"/>
  <c r="R19" i="4" s="1"/>
  <c r="AB19" i="4" s="1"/>
  <c r="AC19" i="4" s="1"/>
  <c r="AD19" i="4" s="1"/>
  <c r="C38" i="4"/>
  <c r="D37" i="4"/>
  <c r="AQ37" i="4"/>
  <c r="Z36" i="4"/>
  <c r="AR36" i="4"/>
  <c r="AV36" i="4" s="1"/>
  <c r="E37" i="4"/>
  <c r="X36" i="4"/>
  <c r="W36" i="4"/>
  <c r="Y36" i="4" s="1"/>
  <c r="Y35" i="4"/>
  <c r="BE19" i="3"/>
  <c r="BF19" i="3" s="1"/>
  <c r="AR35" i="3"/>
  <c r="AV35" i="3" s="1"/>
  <c r="Y34" i="3"/>
  <c r="W35" i="3"/>
  <c r="D36" i="3"/>
  <c r="AQ36" i="3"/>
  <c r="BN19" i="3"/>
  <c r="BO19" i="3" s="1"/>
  <c r="BE19" i="6" l="1"/>
  <c r="BF19" i="6" s="1"/>
  <c r="AA37" i="6"/>
  <c r="AR38" i="6"/>
  <c r="AV38" i="6" s="1"/>
  <c r="E39" i="6"/>
  <c r="Z38" i="6"/>
  <c r="X38" i="6"/>
  <c r="W38" i="6"/>
  <c r="Y38" i="6" s="1"/>
  <c r="Y37" i="6"/>
  <c r="BN19" i="6"/>
  <c r="BO19" i="6" s="1"/>
  <c r="D39" i="6"/>
  <c r="C40" i="6"/>
  <c r="AQ39" i="6"/>
  <c r="AR37" i="5"/>
  <c r="AV37" i="5" s="1"/>
  <c r="Z37" i="5"/>
  <c r="W37" i="5"/>
  <c r="X37" i="5"/>
  <c r="AA36" i="5"/>
  <c r="D38" i="5"/>
  <c r="E38" i="5" s="1"/>
  <c r="AQ38" i="5"/>
  <c r="C39" i="5"/>
  <c r="BP19" i="5"/>
  <c r="BQ19" i="5" s="1"/>
  <c r="AK19" i="4"/>
  <c r="AL19" i="4" s="1"/>
  <c r="AI19" i="4"/>
  <c r="AA36" i="4"/>
  <c r="D38" i="4"/>
  <c r="AQ38" i="4"/>
  <c r="C39" i="4"/>
  <c r="I19" i="4"/>
  <c r="AR37" i="4"/>
  <c r="AV37" i="4" s="1"/>
  <c r="Z37" i="4"/>
  <c r="X37" i="4"/>
  <c r="W37" i="4"/>
  <c r="Y37" i="4" s="1"/>
  <c r="BP19" i="3"/>
  <c r="BQ19" i="3" s="1"/>
  <c r="AR36" i="3"/>
  <c r="AV36" i="3" s="1"/>
  <c r="W36" i="3"/>
  <c r="Y35" i="3"/>
  <c r="E36" i="3"/>
  <c r="D37" i="3"/>
  <c r="E37" i="3" s="1"/>
  <c r="AQ37" i="3"/>
  <c r="AM19" i="4" l="1"/>
  <c r="AN19" i="4" s="1"/>
  <c r="AO19" i="4" s="1"/>
  <c r="L20" i="4" s="1"/>
  <c r="AA38" i="6"/>
  <c r="C41" i="6"/>
  <c r="AQ40" i="6"/>
  <c r="D40" i="6"/>
  <c r="Z39" i="6"/>
  <c r="E40" i="6"/>
  <c r="AR39" i="6"/>
  <c r="AV39" i="6" s="1"/>
  <c r="W39" i="6"/>
  <c r="X39" i="6"/>
  <c r="BP19" i="6"/>
  <c r="BQ19" i="6" s="1"/>
  <c r="Z38" i="5"/>
  <c r="E39" i="5"/>
  <c r="AR38" i="5"/>
  <c r="AV38" i="5" s="1"/>
  <c r="W38" i="5"/>
  <c r="X38" i="5"/>
  <c r="C40" i="5"/>
  <c r="D39" i="5"/>
  <c r="AQ39" i="5"/>
  <c r="Y37" i="5"/>
  <c r="H19" i="5"/>
  <c r="Q19" i="5"/>
  <c r="R19" i="5" s="1"/>
  <c r="AB19" i="5" s="1"/>
  <c r="AC19" i="5" s="1"/>
  <c r="AD19" i="5" s="1"/>
  <c r="AA37" i="5"/>
  <c r="K19" i="4"/>
  <c r="M19" i="4"/>
  <c r="D39" i="4"/>
  <c r="AQ39" i="4"/>
  <c r="C40" i="4"/>
  <c r="AA37" i="4"/>
  <c r="Z38" i="4"/>
  <c r="AR38" i="4"/>
  <c r="AV38" i="4" s="1"/>
  <c r="W38" i="4"/>
  <c r="Y38" i="4" s="1"/>
  <c r="E39" i="4"/>
  <c r="X38" i="4"/>
  <c r="E38" i="4"/>
  <c r="H19" i="3"/>
  <c r="I19" i="3" s="1"/>
  <c r="M19" i="3" s="1"/>
  <c r="Q19" i="3"/>
  <c r="R19" i="3" s="1"/>
  <c r="AB19" i="3" s="1"/>
  <c r="AC19" i="3" s="1"/>
  <c r="AD19" i="3" s="1"/>
  <c r="D38" i="3"/>
  <c r="E38" i="3" s="1"/>
  <c r="AQ38" i="3"/>
  <c r="AR37" i="3"/>
  <c r="AV37" i="3" s="1"/>
  <c r="W37" i="3"/>
  <c r="Y36" i="3"/>
  <c r="H19" i="6" l="1"/>
  <c r="Q19" i="6"/>
  <c r="R19" i="6" s="1"/>
  <c r="AB19" i="6" s="1"/>
  <c r="AC19" i="6" s="1"/>
  <c r="AD19" i="6" s="1"/>
  <c r="D41" i="6"/>
  <c r="C42" i="6"/>
  <c r="AQ41" i="6"/>
  <c r="AA39" i="6"/>
  <c r="E41" i="6"/>
  <c r="AR40" i="6"/>
  <c r="AV40" i="6" s="1"/>
  <c r="Z40" i="6"/>
  <c r="W40" i="6"/>
  <c r="Y40" i="6" s="1"/>
  <c r="X40" i="6"/>
  <c r="Y39" i="6"/>
  <c r="AR39" i="5"/>
  <c r="AV39" i="5" s="1"/>
  <c r="Z39" i="5"/>
  <c r="W39" i="5"/>
  <c r="X39" i="5"/>
  <c r="I19" i="5"/>
  <c r="AA38" i="5"/>
  <c r="Y38" i="5"/>
  <c r="D40" i="5"/>
  <c r="AQ40" i="5"/>
  <c r="C41" i="5"/>
  <c r="AI19" i="5"/>
  <c r="AK19" i="5"/>
  <c r="AL19" i="5" s="1"/>
  <c r="N19" i="4"/>
  <c r="AA38" i="4"/>
  <c r="D40" i="4"/>
  <c r="E40" i="4" s="1"/>
  <c r="AQ40" i="4"/>
  <c r="C41" i="4"/>
  <c r="AR39" i="4"/>
  <c r="AV39" i="4" s="1"/>
  <c r="Z39" i="4"/>
  <c r="X39" i="4"/>
  <c r="W39" i="4"/>
  <c r="Y39" i="4" s="1"/>
  <c r="AK19" i="3"/>
  <c r="AL19" i="3" s="1"/>
  <c r="AI19" i="3"/>
  <c r="K19" i="3"/>
  <c r="N19" i="3" s="1"/>
  <c r="O19" i="3" s="1"/>
  <c r="F20" i="3" s="1"/>
  <c r="D39" i="3"/>
  <c r="AQ39" i="3"/>
  <c r="AR38" i="3"/>
  <c r="AV38" i="3" s="1"/>
  <c r="W38" i="3"/>
  <c r="Y37" i="3"/>
  <c r="O19" i="4" l="1"/>
  <c r="F20" i="4" s="1"/>
  <c r="I19" i="6"/>
  <c r="AA40" i="6"/>
  <c r="C43" i="6"/>
  <c r="AQ42" i="6"/>
  <c r="D42" i="6"/>
  <c r="E42" i="6"/>
  <c r="Z41" i="6"/>
  <c r="AR41" i="6"/>
  <c r="AV41" i="6" s="1"/>
  <c r="X41" i="6"/>
  <c r="W41" i="6"/>
  <c r="Y41" i="6" s="1"/>
  <c r="AK19" i="6"/>
  <c r="AL19" i="6" s="1"/>
  <c r="AI19" i="6"/>
  <c r="K19" i="5"/>
  <c r="M19" i="5"/>
  <c r="AM19" i="5"/>
  <c r="AN19" i="5" s="1"/>
  <c r="AO19" i="5" s="1"/>
  <c r="L20" i="5" s="1"/>
  <c r="Y39" i="5"/>
  <c r="Z40" i="5"/>
  <c r="AR40" i="5"/>
  <c r="AV40" i="5" s="1"/>
  <c r="E41" i="5"/>
  <c r="X40" i="5"/>
  <c r="W40" i="5"/>
  <c r="AA39" i="5"/>
  <c r="D41" i="5"/>
  <c r="C42" i="5"/>
  <c r="AQ41" i="5"/>
  <c r="E40" i="5"/>
  <c r="Z40" i="4"/>
  <c r="AR40" i="4"/>
  <c r="AV40" i="4" s="1"/>
  <c r="W40" i="4"/>
  <c r="X40" i="4"/>
  <c r="AA39" i="4"/>
  <c r="D41" i="4"/>
  <c r="AQ41" i="4"/>
  <c r="C42" i="4"/>
  <c r="AM19" i="3"/>
  <c r="AN19" i="3" s="1"/>
  <c r="AO19" i="3" s="1"/>
  <c r="L20" i="3" s="1"/>
  <c r="G20" i="3"/>
  <c r="AS20" i="3"/>
  <c r="AW20" i="3" s="1"/>
  <c r="BH20" i="3" s="1"/>
  <c r="AR39" i="3"/>
  <c r="AV39" i="3" s="1"/>
  <c r="W39" i="3"/>
  <c r="E39" i="3"/>
  <c r="AQ40" i="3"/>
  <c r="D40" i="3"/>
  <c r="Y38" i="3"/>
  <c r="G20" i="4" l="1"/>
  <c r="AS20" i="4"/>
  <c r="AW20" i="4" s="1"/>
  <c r="AM19" i="6"/>
  <c r="AN19" i="6" s="1"/>
  <c r="AO19" i="6" s="1"/>
  <c r="L20" i="6" s="1"/>
  <c r="AR42" i="6"/>
  <c r="AV42" i="6" s="1"/>
  <c r="Z42" i="6"/>
  <c r="X42" i="6"/>
  <c r="W42" i="6"/>
  <c r="Y42" i="6" s="1"/>
  <c r="D43" i="6"/>
  <c r="C44" i="6"/>
  <c r="AQ43" i="6"/>
  <c r="K19" i="6"/>
  <c r="M19" i="6"/>
  <c r="AA41" i="6"/>
  <c r="D42" i="5"/>
  <c r="C43" i="5"/>
  <c r="AQ42" i="5"/>
  <c r="AA40" i="5"/>
  <c r="E42" i="5"/>
  <c r="AR41" i="5"/>
  <c r="AV41" i="5" s="1"/>
  <c r="Z41" i="5"/>
  <c r="W41" i="5"/>
  <c r="Y41" i="5" s="1"/>
  <c r="X41" i="5"/>
  <c r="Y40" i="5"/>
  <c r="N19" i="5"/>
  <c r="O19" i="5" s="1"/>
  <c r="F20" i="5" s="1"/>
  <c r="AR41" i="4"/>
  <c r="AV41" i="4" s="1"/>
  <c r="Z41" i="4"/>
  <c r="E42" i="4"/>
  <c r="W41" i="4"/>
  <c r="X41" i="4"/>
  <c r="BH20" i="4"/>
  <c r="AY20" i="4"/>
  <c r="AA40" i="4"/>
  <c r="D42" i="4"/>
  <c r="C43" i="4"/>
  <c r="AQ42" i="4"/>
  <c r="E41" i="4"/>
  <c r="Y40" i="4"/>
  <c r="AY20" i="3"/>
  <c r="BD20" i="3" s="1"/>
  <c r="D41" i="3"/>
  <c r="E41" i="3" s="1"/>
  <c r="AQ41" i="3"/>
  <c r="BL20" i="3"/>
  <c r="BM20" i="3"/>
  <c r="BK20" i="3"/>
  <c r="BJ20" i="3"/>
  <c r="BI20" i="3"/>
  <c r="W40" i="3"/>
  <c r="AR40" i="3"/>
  <c r="AV40" i="3" s="1"/>
  <c r="Y39" i="3"/>
  <c r="E40" i="3"/>
  <c r="N19" i="6" l="1"/>
  <c r="O19" i="6" s="1"/>
  <c r="F20" i="6" s="1"/>
  <c r="AA42" i="6"/>
  <c r="E44" i="6"/>
  <c r="Z43" i="6"/>
  <c r="AR43" i="6"/>
  <c r="AV43" i="6" s="1"/>
  <c r="X43" i="6"/>
  <c r="W43" i="6"/>
  <c r="Y43" i="6" s="1"/>
  <c r="C45" i="6"/>
  <c r="AQ44" i="6"/>
  <c r="D44" i="6"/>
  <c r="E43" i="6"/>
  <c r="AS20" i="5"/>
  <c r="AW20" i="5" s="1"/>
  <c r="G20" i="5"/>
  <c r="C44" i="5"/>
  <c r="AQ43" i="5"/>
  <c r="D43" i="5"/>
  <c r="Z42" i="5"/>
  <c r="E43" i="5"/>
  <c r="AR42" i="5"/>
  <c r="AV42" i="5" s="1"/>
  <c r="W42" i="5"/>
  <c r="X42" i="5"/>
  <c r="AA41" i="5"/>
  <c r="AA41" i="4"/>
  <c r="C44" i="4"/>
  <c r="D43" i="4"/>
  <c r="AQ43" i="4"/>
  <c r="Z42" i="4"/>
  <c r="E43" i="4"/>
  <c r="AR42" i="4"/>
  <c r="AV42" i="4" s="1"/>
  <c r="W42" i="4"/>
  <c r="Y42" i="4" s="1"/>
  <c r="X42" i="4"/>
  <c r="BD20" i="4"/>
  <c r="BC20" i="4"/>
  <c r="BA20" i="4"/>
  <c r="AZ20" i="4"/>
  <c r="BB20" i="4"/>
  <c r="BM20" i="4"/>
  <c r="BL20" i="4"/>
  <c r="BJ20" i="4"/>
  <c r="BI20" i="4"/>
  <c r="BK20" i="4"/>
  <c r="Y41" i="4"/>
  <c r="BC20" i="3"/>
  <c r="AZ20" i="3"/>
  <c r="BB20" i="3"/>
  <c r="BA20" i="3"/>
  <c r="BN20" i="3"/>
  <c r="BO20" i="3" s="1"/>
  <c r="AQ42" i="3"/>
  <c r="D42" i="3"/>
  <c r="W41" i="3"/>
  <c r="E42" i="3"/>
  <c r="Y40" i="3"/>
  <c r="AR41" i="3"/>
  <c r="AV41" i="3" s="1"/>
  <c r="AQ45" i="6" l="1"/>
  <c r="D45" i="6"/>
  <c r="C46" i="6"/>
  <c r="AA43" i="6"/>
  <c r="E45" i="6"/>
  <c r="AR44" i="6"/>
  <c r="AV44" i="6" s="1"/>
  <c r="Z44" i="6"/>
  <c r="W44" i="6"/>
  <c r="Y44" i="6" s="1"/>
  <c r="X44" i="6"/>
  <c r="AS20" i="6"/>
  <c r="AW20" i="6" s="1"/>
  <c r="G20" i="6"/>
  <c r="AR43" i="5"/>
  <c r="AV43" i="5" s="1"/>
  <c r="Z43" i="5"/>
  <c r="W43" i="5"/>
  <c r="X43" i="5"/>
  <c r="D44" i="5"/>
  <c r="C45" i="5"/>
  <c r="AQ44" i="5"/>
  <c r="Y42" i="5"/>
  <c r="AA42" i="5"/>
  <c r="BH20" i="5"/>
  <c r="AY20" i="5"/>
  <c r="C45" i="4"/>
  <c r="AQ44" i="4"/>
  <c r="D44" i="4"/>
  <c r="E44" i="4" s="1"/>
  <c r="BN20" i="4"/>
  <c r="BO20" i="4" s="1"/>
  <c r="BE20" i="4"/>
  <c r="BF20" i="4" s="1"/>
  <c r="AA42" i="4"/>
  <c r="AR43" i="4"/>
  <c r="AV43" i="4" s="1"/>
  <c r="Z43" i="4"/>
  <c r="X43" i="4"/>
  <c r="W43" i="4"/>
  <c r="BE20" i="3"/>
  <c r="BF20" i="3" s="1"/>
  <c r="BP20" i="3" s="1"/>
  <c r="BQ20" i="3" s="1"/>
  <c r="D43" i="3"/>
  <c r="E43" i="3" s="1"/>
  <c r="AQ43" i="3"/>
  <c r="Y41" i="3"/>
  <c r="W42" i="3"/>
  <c r="AR42" i="3"/>
  <c r="AV42" i="3" s="1"/>
  <c r="AA44" i="6" l="1"/>
  <c r="C47" i="6"/>
  <c r="AQ46" i="6"/>
  <c r="D46" i="6"/>
  <c r="E46" i="6"/>
  <c r="Z45" i="6"/>
  <c r="AR45" i="6"/>
  <c r="AV45" i="6" s="1"/>
  <c r="W45" i="6"/>
  <c r="Y45" i="6" s="1"/>
  <c r="X45" i="6"/>
  <c r="AY20" i="6"/>
  <c r="BH20" i="6"/>
  <c r="Z44" i="5"/>
  <c r="AR44" i="5"/>
  <c r="AV44" i="5" s="1"/>
  <c r="X44" i="5"/>
  <c r="W44" i="5"/>
  <c r="Y44" i="5" s="1"/>
  <c r="BM20" i="5"/>
  <c r="BL20" i="5"/>
  <c r="BK20" i="5"/>
  <c r="BI20" i="5"/>
  <c r="BJ20" i="5"/>
  <c r="AQ45" i="5"/>
  <c r="C46" i="5"/>
  <c r="D45" i="5"/>
  <c r="BD20" i="5"/>
  <c r="BC20" i="5"/>
  <c r="BA20" i="5"/>
  <c r="BB20" i="5"/>
  <c r="AZ20" i="5"/>
  <c r="Y43" i="5"/>
  <c r="AA43" i="5"/>
  <c r="E44" i="5"/>
  <c r="AA43" i="4"/>
  <c r="AQ45" i="4"/>
  <c r="D45" i="4"/>
  <c r="C46" i="4"/>
  <c r="Z44" i="4"/>
  <c r="AR44" i="4"/>
  <c r="AV44" i="4" s="1"/>
  <c r="E45" i="4"/>
  <c r="X44" i="4"/>
  <c r="W44" i="4"/>
  <c r="Y43" i="4"/>
  <c r="BP20" i="4"/>
  <c r="BQ20" i="4" s="1"/>
  <c r="H20" i="3"/>
  <c r="I20" i="3" s="1"/>
  <c r="M20" i="3" s="1"/>
  <c r="Q20" i="3"/>
  <c r="R20" i="3" s="1"/>
  <c r="AB20" i="3" s="1"/>
  <c r="AC20" i="3" s="1"/>
  <c r="AD20" i="3" s="1"/>
  <c r="D44" i="3"/>
  <c r="AQ44" i="3"/>
  <c r="W43" i="3"/>
  <c r="AR43" i="3"/>
  <c r="AV43" i="3" s="1"/>
  <c r="Y42" i="3"/>
  <c r="BM20" i="6" l="1"/>
  <c r="BL20" i="6"/>
  <c r="BJ20" i="6"/>
  <c r="BK20" i="6"/>
  <c r="BI20" i="6"/>
  <c r="BD20" i="6"/>
  <c r="BC20" i="6"/>
  <c r="AZ20" i="6"/>
  <c r="BB20" i="6"/>
  <c r="BA20" i="6"/>
  <c r="AA45" i="6"/>
  <c r="E47" i="6"/>
  <c r="Z46" i="6"/>
  <c r="AR46" i="6"/>
  <c r="AV46" i="6" s="1"/>
  <c r="W46" i="6"/>
  <c r="X46" i="6"/>
  <c r="C48" i="6"/>
  <c r="AQ47" i="6"/>
  <c r="D47" i="6"/>
  <c r="AR45" i="5"/>
  <c r="AV45" i="5" s="1"/>
  <c r="Z45" i="5"/>
  <c r="X45" i="5"/>
  <c r="W45" i="5"/>
  <c r="Y45" i="5" s="1"/>
  <c r="D46" i="5"/>
  <c r="AQ46" i="5"/>
  <c r="C47" i="5"/>
  <c r="E45" i="5"/>
  <c r="BE20" i="5"/>
  <c r="BF20" i="5" s="1"/>
  <c r="BN20" i="5"/>
  <c r="BO20" i="5" s="1"/>
  <c r="AA44" i="5"/>
  <c r="H20" i="4"/>
  <c r="Q20" i="4"/>
  <c r="R20" i="4" s="1"/>
  <c r="AB20" i="4" s="1"/>
  <c r="AC20" i="4" s="1"/>
  <c r="AD20" i="4" s="1"/>
  <c r="Y44" i="4"/>
  <c r="C47" i="4"/>
  <c r="AQ46" i="4"/>
  <c r="D46" i="4"/>
  <c r="AA44" i="4"/>
  <c r="E46" i="4"/>
  <c r="Z45" i="4"/>
  <c r="AR45" i="4"/>
  <c r="AV45" i="4" s="1"/>
  <c r="W45" i="4"/>
  <c r="Y45" i="4" s="1"/>
  <c r="X45" i="4"/>
  <c r="AK20" i="3"/>
  <c r="AL20" i="3" s="1"/>
  <c r="AI20" i="3"/>
  <c r="Y43" i="3"/>
  <c r="W44" i="3"/>
  <c r="AR44" i="3"/>
  <c r="AV44" i="3" s="1"/>
  <c r="AQ45" i="3"/>
  <c r="D45" i="3"/>
  <c r="E45" i="3" s="1"/>
  <c r="K20" i="3"/>
  <c r="E44" i="3"/>
  <c r="BN20" i="6" l="1"/>
  <c r="BO20" i="6" s="1"/>
  <c r="AA46" i="6"/>
  <c r="Y46" i="6"/>
  <c r="AR47" i="6"/>
  <c r="AV47" i="6" s="1"/>
  <c r="Z47" i="6"/>
  <c r="E48" i="6"/>
  <c r="W47" i="6"/>
  <c r="X47" i="6"/>
  <c r="AQ48" i="6"/>
  <c r="D48" i="6"/>
  <c r="C49" i="6"/>
  <c r="BE20" i="6"/>
  <c r="BF20" i="6" s="1"/>
  <c r="Z46" i="5"/>
  <c r="AR46" i="5"/>
  <c r="AV46" i="5" s="1"/>
  <c r="W46" i="5"/>
  <c r="X46" i="5"/>
  <c r="BP20" i="5"/>
  <c r="BQ20" i="5" s="1"/>
  <c r="AA45" i="5"/>
  <c r="E46" i="5"/>
  <c r="C48" i="5"/>
  <c r="D47" i="5"/>
  <c r="AQ47" i="5"/>
  <c r="AK20" i="4"/>
  <c r="AL20" i="4" s="1"/>
  <c r="AI20" i="4"/>
  <c r="I20" i="4"/>
  <c r="AQ47" i="4"/>
  <c r="D47" i="4"/>
  <c r="C48" i="4"/>
  <c r="AA45" i="4"/>
  <c r="Z46" i="4"/>
  <c r="E47" i="4"/>
  <c r="AR46" i="4"/>
  <c r="AV46" i="4" s="1"/>
  <c r="X46" i="4"/>
  <c r="W46" i="4"/>
  <c r="Y46" i="4" s="1"/>
  <c r="AM20" i="3"/>
  <c r="AN20" i="3" s="1"/>
  <c r="AO20" i="3" s="1"/>
  <c r="L21" i="3" s="1"/>
  <c r="N20" i="3"/>
  <c r="O20" i="3" s="1"/>
  <c r="F21" i="3" s="1"/>
  <c r="Y44" i="3"/>
  <c r="AR45" i="3"/>
  <c r="AV45" i="3" s="1"/>
  <c r="W45" i="3"/>
  <c r="D46" i="3"/>
  <c r="E46" i="3" s="1"/>
  <c r="AQ46" i="3"/>
  <c r="AM20" i="4" l="1"/>
  <c r="AN20" i="4" s="1"/>
  <c r="AO20" i="4" s="1"/>
  <c r="L21" i="4" s="1"/>
  <c r="Y47" i="6"/>
  <c r="C50" i="6"/>
  <c r="AQ49" i="6"/>
  <c r="D49" i="6"/>
  <c r="AA47" i="6"/>
  <c r="E49" i="6"/>
  <c r="Z48" i="6"/>
  <c r="AR48" i="6"/>
  <c r="AV48" i="6" s="1"/>
  <c r="X48" i="6"/>
  <c r="W48" i="6"/>
  <c r="Y48" i="6" s="1"/>
  <c r="BP20" i="6"/>
  <c r="BQ20" i="6" s="1"/>
  <c r="H20" i="5"/>
  <c r="Q20" i="5"/>
  <c r="R20" i="5" s="1"/>
  <c r="AB20" i="5" s="1"/>
  <c r="AC20" i="5" s="1"/>
  <c r="AD20" i="5" s="1"/>
  <c r="E48" i="5"/>
  <c r="AR47" i="5"/>
  <c r="AV47" i="5" s="1"/>
  <c r="Z47" i="5"/>
  <c r="X47" i="5"/>
  <c r="W47" i="5"/>
  <c r="Y47" i="5" s="1"/>
  <c r="Y46" i="5"/>
  <c r="C49" i="5"/>
  <c r="AQ48" i="5"/>
  <c r="D48" i="5"/>
  <c r="E47" i="5"/>
  <c r="AA46" i="5"/>
  <c r="AA46" i="4"/>
  <c r="C49" i="4"/>
  <c r="D48" i="4"/>
  <c r="AQ48" i="4"/>
  <c r="AR47" i="4"/>
  <c r="AV47" i="4" s="1"/>
  <c r="Z47" i="4"/>
  <c r="W47" i="4"/>
  <c r="X47" i="4"/>
  <c r="K20" i="4"/>
  <c r="M20" i="4"/>
  <c r="G21" i="3"/>
  <c r="AS21" i="3"/>
  <c r="AW21" i="3" s="1"/>
  <c r="AY21" i="3" s="1"/>
  <c r="AQ47" i="3"/>
  <c r="D47" i="3"/>
  <c r="E47" i="3" s="1"/>
  <c r="Y45" i="3"/>
  <c r="W46" i="3"/>
  <c r="AR46" i="3"/>
  <c r="AV46" i="3" s="1"/>
  <c r="N20" i="4" l="1"/>
  <c r="H20" i="6"/>
  <c r="Q20" i="6"/>
  <c r="R20" i="6" s="1"/>
  <c r="AB20" i="6" s="1"/>
  <c r="AC20" i="6" s="1"/>
  <c r="AD20" i="6" s="1"/>
  <c r="AA48" i="6"/>
  <c r="E50" i="6"/>
  <c r="AR49" i="6"/>
  <c r="AV49" i="6" s="1"/>
  <c r="Z49" i="6"/>
  <c r="W49" i="6"/>
  <c r="X49" i="6"/>
  <c r="C51" i="6"/>
  <c r="AQ50" i="6"/>
  <c r="D50" i="6"/>
  <c r="C50" i="5"/>
  <c r="AQ49" i="5"/>
  <c r="D49" i="5"/>
  <c r="AA47" i="5"/>
  <c r="AK20" i="5"/>
  <c r="AL20" i="5" s="1"/>
  <c r="AI20" i="5"/>
  <c r="E49" i="5"/>
  <c r="AR48" i="5"/>
  <c r="AV48" i="5" s="1"/>
  <c r="Z48" i="5"/>
  <c r="W48" i="5"/>
  <c r="Y48" i="5" s="1"/>
  <c r="X48" i="5"/>
  <c r="I20" i="5"/>
  <c r="Z48" i="4"/>
  <c r="AR48" i="4"/>
  <c r="AV48" i="4" s="1"/>
  <c r="W48" i="4"/>
  <c r="X48" i="4"/>
  <c r="D49" i="4"/>
  <c r="C50" i="4"/>
  <c r="AQ49" i="4"/>
  <c r="Y47" i="4"/>
  <c r="AA47" i="4"/>
  <c r="E48" i="4"/>
  <c r="BH21" i="3"/>
  <c r="BM21" i="3" s="1"/>
  <c r="D48" i="3"/>
  <c r="E48" i="3" s="1"/>
  <c r="AQ48" i="3"/>
  <c r="AR47" i="3"/>
  <c r="AV47" i="3" s="1"/>
  <c r="W47" i="3"/>
  <c r="Y46" i="3"/>
  <c r="BD21" i="3"/>
  <c r="BC21" i="3"/>
  <c r="BB21" i="3"/>
  <c r="BA21" i="3"/>
  <c r="AZ21" i="3"/>
  <c r="O20" i="4" l="1"/>
  <c r="F21" i="4" s="1"/>
  <c r="AM20" i="5"/>
  <c r="AN20" i="5" s="1"/>
  <c r="AO20" i="5" s="1"/>
  <c r="L21" i="5" s="1"/>
  <c r="Z50" i="6"/>
  <c r="AR50" i="6"/>
  <c r="AV50" i="6" s="1"/>
  <c r="W50" i="6"/>
  <c r="X50" i="6"/>
  <c r="AK20" i="6"/>
  <c r="AL20" i="6" s="1"/>
  <c r="AI20" i="6"/>
  <c r="AA49" i="6"/>
  <c r="C52" i="6"/>
  <c r="AQ51" i="6"/>
  <c r="D51" i="6"/>
  <c r="Y49" i="6"/>
  <c r="I20" i="6"/>
  <c r="K20" i="5"/>
  <c r="M20" i="5"/>
  <c r="AQ50" i="5"/>
  <c r="C51" i="5"/>
  <c r="D50" i="5"/>
  <c r="AA48" i="5"/>
  <c r="Z49" i="5"/>
  <c r="AR49" i="5"/>
  <c r="AV49" i="5" s="1"/>
  <c r="X49" i="5"/>
  <c r="W49" i="5"/>
  <c r="Y49" i="5" s="1"/>
  <c r="AR49" i="4"/>
  <c r="AV49" i="4" s="1"/>
  <c r="Z49" i="4"/>
  <c r="W49" i="4"/>
  <c r="X49" i="4"/>
  <c r="Y48" i="4"/>
  <c r="AQ50" i="4"/>
  <c r="D50" i="4"/>
  <c r="C51" i="4"/>
  <c r="E49" i="4"/>
  <c r="AA48" i="4"/>
  <c r="BI21" i="3"/>
  <c r="BJ21" i="3"/>
  <c r="BK21" i="3"/>
  <c r="BL21" i="3"/>
  <c r="D49" i="3"/>
  <c r="E49" i="3" s="1"/>
  <c r="AQ49" i="3"/>
  <c r="Y47" i="3"/>
  <c r="W48" i="3"/>
  <c r="AR48" i="3"/>
  <c r="AV48" i="3" s="1"/>
  <c r="BE21" i="3"/>
  <c r="BF21" i="3" s="1"/>
  <c r="AS21" i="4" l="1"/>
  <c r="AW21" i="4" s="1"/>
  <c r="G21" i="4"/>
  <c r="D52" i="6"/>
  <c r="AQ52" i="6"/>
  <c r="C53" i="6"/>
  <c r="AM20" i="6"/>
  <c r="AN20" i="6" s="1"/>
  <c r="AO20" i="6" s="1"/>
  <c r="L21" i="6" s="1"/>
  <c r="K20" i="6"/>
  <c r="M20" i="6"/>
  <c r="Y50" i="6"/>
  <c r="Z51" i="6"/>
  <c r="E52" i="6"/>
  <c r="AR51" i="6"/>
  <c r="AV51" i="6" s="1"/>
  <c r="X51" i="6"/>
  <c r="W51" i="6"/>
  <c r="Y51" i="6" s="1"/>
  <c r="AA50" i="6"/>
  <c r="E51" i="6"/>
  <c r="C52" i="5"/>
  <c r="AQ51" i="5"/>
  <c r="D51" i="5"/>
  <c r="E51" i="5"/>
  <c r="AR50" i="5"/>
  <c r="AV50" i="5" s="1"/>
  <c r="Z50" i="5"/>
  <c r="X50" i="5"/>
  <c r="W50" i="5"/>
  <c r="Y50" i="5" s="1"/>
  <c r="AA49" i="5"/>
  <c r="N20" i="5"/>
  <c r="O20" i="5" s="1"/>
  <c r="F21" i="5" s="1"/>
  <c r="E50" i="5"/>
  <c r="C52" i="4"/>
  <c r="AQ51" i="4"/>
  <c r="D51" i="4"/>
  <c r="Z50" i="4"/>
  <c r="AR50" i="4"/>
  <c r="AV50" i="4" s="1"/>
  <c r="W50" i="4"/>
  <c r="X50" i="4"/>
  <c r="Y49" i="4"/>
  <c r="E50" i="4"/>
  <c r="AA49" i="4"/>
  <c r="BN21" i="3"/>
  <c r="BO21" i="3" s="1"/>
  <c r="BP21" i="3" s="1"/>
  <c r="BQ21" i="3" s="1"/>
  <c r="AR49" i="3"/>
  <c r="AV49" i="3" s="1"/>
  <c r="W49" i="3"/>
  <c r="Y48" i="3"/>
  <c r="D50" i="3"/>
  <c r="AQ50" i="3"/>
  <c r="BH21" i="4" l="1"/>
  <c r="AY21" i="4"/>
  <c r="C54" i="6"/>
  <c r="AQ53" i="6"/>
  <c r="D53" i="6"/>
  <c r="AA51" i="6"/>
  <c r="N20" i="6"/>
  <c r="O20" i="6" s="1"/>
  <c r="F21" i="6" s="1"/>
  <c r="AR52" i="6"/>
  <c r="AV52" i="6" s="1"/>
  <c r="Z52" i="6"/>
  <c r="W52" i="6"/>
  <c r="Y52" i="6" s="1"/>
  <c r="X52" i="6"/>
  <c r="E52" i="5"/>
  <c r="Z51" i="5"/>
  <c r="AR51" i="5"/>
  <c r="AV51" i="5" s="1"/>
  <c r="W51" i="5"/>
  <c r="X51" i="5"/>
  <c r="AA50" i="5"/>
  <c r="AS21" i="5"/>
  <c r="AW21" i="5" s="1"/>
  <c r="G21" i="5"/>
  <c r="D52" i="5"/>
  <c r="C53" i="5"/>
  <c r="AQ52" i="5"/>
  <c r="AA50" i="4"/>
  <c r="Z51" i="4"/>
  <c r="AR51" i="4"/>
  <c r="AV51" i="4" s="1"/>
  <c r="E52" i="4"/>
  <c r="X51" i="4"/>
  <c r="W51" i="4"/>
  <c r="E51" i="4"/>
  <c r="C53" i="4"/>
  <c r="AQ52" i="4"/>
  <c r="D52" i="4"/>
  <c r="Y50" i="4"/>
  <c r="H21" i="3"/>
  <c r="I21" i="3" s="1"/>
  <c r="M21" i="3" s="1"/>
  <c r="Q21" i="3"/>
  <c r="R21" i="3" s="1"/>
  <c r="AB21" i="3" s="1"/>
  <c r="AC21" i="3" s="1"/>
  <c r="AD21" i="3" s="1"/>
  <c r="D51" i="3"/>
  <c r="AQ51" i="3"/>
  <c r="W50" i="3"/>
  <c r="Y49" i="3"/>
  <c r="AR50" i="3"/>
  <c r="AV50" i="3" s="1"/>
  <c r="E51" i="3"/>
  <c r="E50" i="3"/>
  <c r="BC21" i="4" l="1"/>
  <c r="BA21" i="4"/>
  <c r="AZ21" i="4"/>
  <c r="BB21" i="4"/>
  <c r="BD21" i="4"/>
  <c r="BJ21" i="4"/>
  <c r="BM21" i="4"/>
  <c r="BK21" i="4"/>
  <c r="BL21" i="4"/>
  <c r="BI21" i="4"/>
  <c r="Z53" i="6"/>
  <c r="AR53" i="6"/>
  <c r="AV53" i="6" s="1"/>
  <c r="W53" i="6"/>
  <c r="X53" i="6"/>
  <c r="D54" i="6"/>
  <c r="AQ54" i="6"/>
  <c r="C55" i="6"/>
  <c r="AA52" i="6"/>
  <c r="E53" i="6"/>
  <c r="AS21" i="6"/>
  <c r="AW21" i="6" s="1"/>
  <c r="G21" i="6"/>
  <c r="BH21" i="5"/>
  <c r="AY21" i="5"/>
  <c r="AQ53" i="5"/>
  <c r="C54" i="5"/>
  <c r="D53" i="5"/>
  <c r="AA51" i="5"/>
  <c r="Z52" i="5"/>
  <c r="AR52" i="5"/>
  <c r="AV52" i="5" s="1"/>
  <c r="X52" i="5"/>
  <c r="W52" i="5"/>
  <c r="Y52" i="5" s="1"/>
  <c r="Y51" i="5"/>
  <c r="AQ53" i="4"/>
  <c r="D53" i="4"/>
  <c r="C54" i="4"/>
  <c r="Y51" i="4"/>
  <c r="E53" i="4"/>
  <c r="AR52" i="4"/>
  <c r="AV52" i="4" s="1"/>
  <c r="Z52" i="4"/>
  <c r="W52" i="4"/>
  <c r="X52" i="4"/>
  <c r="AA51" i="4"/>
  <c r="AI21" i="3"/>
  <c r="AK21" i="3"/>
  <c r="AL21" i="3" s="1"/>
  <c r="D52" i="3"/>
  <c r="E52" i="3" s="1"/>
  <c r="AQ52" i="3"/>
  <c r="AR51" i="3"/>
  <c r="AV51" i="3" s="1"/>
  <c r="W51" i="3"/>
  <c r="Y50" i="3"/>
  <c r="K21" i="3"/>
  <c r="BE21" i="4" l="1"/>
  <c r="BF21" i="4" s="1"/>
  <c r="BN21" i="4"/>
  <c r="BO21" i="4" s="1"/>
  <c r="BP21" i="4" s="1"/>
  <c r="BQ21" i="4" s="1"/>
  <c r="Q21" i="4" s="1"/>
  <c r="R21" i="4" s="1"/>
  <c r="AB21" i="4" s="1"/>
  <c r="AC21" i="4" s="1"/>
  <c r="AD21" i="4" s="1"/>
  <c r="AQ55" i="6"/>
  <c r="D55" i="6"/>
  <c r="C56" i="6"/>
  <c r="Z54" i="6"/>
  <c r="E55" i="6"/>
  <c r="AR54" i="6"/>
  <c r="AV54" i="6" s="1"/>
  <c r="W54" i="6"/>
  <c r="X54" i="6"/>
  <c r="Y53" i="6"/>
  <c r="E54" i="6"/>
  <c r="BH21" i="6"/>
  <c r="AY21" i="6"/>
  <c r="AA53" i="6"/>
  <c r="AR53" i="5"/>
  <c r="AV53" i="5" s="1"/>
  <c r="Z53" i="5"/>
  <c r="W53" i="5"/>
  <c r="X53" i="5"/>
  <c r="AQ54" i="5"/>
  <c r="D54" i="5"/>
  <c r="C55" i="5"/>
  <c r="BD21" i="5"/>
  <c r="BC21" i="5"/>
  <c r="BB21" i="5"/>
  <c r="BA21" i="5"/>
  <c r="AZ21" i="5"/>
  <c r="AA52" i="5"/>
  <c r="E53" i="5"/>
  <c r="BM21" i="5"/>
  <c r="BL21" i="5"/>
  <c r="BI21" i="5"/>
  <c r="BK21" i="5"/>
  <c r="BJ21" i="5"/>
  <c r="Y52" i="4"/>
  <c r="AR53" i="4"/>
  <c r="AV53" i="4" s="1"/>
  <c r="E54" i="4"/>
  <c r="Z53" i="4"/>
  <c r="W53" i="4"/>
  <c r="X53" i="4"/>
  <c r="AA52" i="4"/>
  <c r="D54" i="4"/>
  <c r="C55" i="4"/>
  <c r="AQ54" i="4"/>
  <c r="AM21" i="3"/>
  <c r="AN21" i="3" s="1"/>
  <c r="AO21" i="3" s="1"/>
  <c r="L22" i="3" s="1"/>
  <c r="N21" i="3"/>
  <c r="O21" i="3" s="1"/>
  <c r="F22" i="3" s="1"/>
  <c r="D53" i="3"/>
  <c r="AQ53" i="3"/>
  <c r="Y51" i="3"/>
  <c r="AR52" i="3"/>
  <c r="AV52" i="3" s="1"/>
  <c r="W52" i="3"/>
  <c r="H21" i="4" l="1"/>
  <c r="BN21" i="5"/>
  <c r="BO21" i="5" s="1"/>
  <c r="BE21" i="5"/>
  <c r="BF21" i="5" s="1"/>
  <c r="BQ21" i="5" s="1"/>
  <c r="Y54" i="6"/>
  <c r="AA54" i="6"/>
  <c r="D56" i="6"/>
  <c r="AQ56" i="6"/>
  <c r="C57" i="6"/>
  <c r="BD21" i="6"/>
  <c r="BC21" i="6"/>
  <c r="AZ21" i="6"/>
  <c r="BA21" i="6"/>
  <c r="BB21" i="6"/>
  <c r="AR55" i="6"/>
  <c r="AV55" i="6" s="1"/>
  <c r="Z55" i="6"/>
  <c r="E56" i="6"/>
  <c r="W55" i="6"/>
  <c r="X55" i="6"/>
  <c r="BM21" i="6"/>
  <c r="BL21" i="6"/>
  <c r="BI21" i="6"/>
  <c r="BK21" i="6"/>
  <c r="BJ21" i="6"/>
  <c r="AR54" i="5"/>
  <c r="AV54" i="5" s="1"/>
  <c r="Z54" i="5"/>
  <c r="X54" i="5"/>
  <c r="W54" i="5"/>
  <c r="Y54" i="5" s="1"/>
  <c r="Y53" i="5"/>
  <c r="AA53" i="5"/>
  <c r="E54" i="5"/>
  <c r="BP21" i="5"/>
  <c r="D55" i="5"/>
  <c r="C56" i="5"/>
  <c r="AQ55" i="5"/>
  <c r="I21" i="4"/>
  <c r="D55" i="4"/>
  <c r="AQ55" i="4"/>
  <c r="C56" i="4"/>
  <c r="AI21" i="4"/>
  <c r="AK21" i="4"/>
  <c r="AL21" i="4" s="1"/>
  <c r="Z54" i="4"/>
  <c r="AR54" i="4"/>
  <c r="AV54" i="4" s="1"/>
  <c r="W54" i="4"/>
  <c r="X54" i="4"/>
  <c r="Y53" i="4"/>
  <c r="AA53" i="4"/>
  <c r="G22" i="3"/>
  <c r="AS22" i="3"/>
  <c r="AW22" i="3" s="1"/>
  <c r="AY22" i="3" s="1"/>
  <c r="Y52" i="3"/>
  <c r="W53" i="3"/>
  <c r="AR53" i="3"/>
  <c r="AV53" i="3" s="1"/>
  <c r="E53" i="3"/>
  <c r="AQ54" i="3"/>
  <c r="D54" i="3"/>
  <c r="E54" i="3" s="1"/>
  <c r="BE21" i="6" l="1"/>
  <c r="BF21" i="6" s="1"/>
  <c r="C58" i="6"/>
  <c r="AQ57" i="6"/>
  <c r="D57" i="6"/>
  <c r="AA55" i="6"/>
  <c r="Y55" i="6"/>
  <c r="Z56" i="6"/>
  <c r="E57" i="6"/>
  <c r="AR56" i="6"/>
  <c r="AV56" i="6" s="1"/>
  <c r="W56" i="6"/>
  <c r="Y56" i="6" s="1"/>
  <c r="X56" i="6"/>
  <c r="BN21" i="6"/>
  <c r="BO21" i="6" s="1"/>
  <c r="BP21" i="6" s="1"/>
  <c r="BQ21" i="6" s="1"/>
  <c r="C57" i="5"/>
  <c r="D56" i="5"/>
  <c r="AQ56" i="5"/>
  <c r="AA54" i="5"/>
  <c r="Z55" i="5"/>
  <c r="AR55" i="5"/>
  <c r="AV55" i="5" s="1"/>
  <c r="X55" i="5"/>
  <c r="W55" i="5"/>
  <c r="Y55" i="5" s="1"/>
  <c r="E55" i="5"/>
  <c r="H21" i="5"/>
  <c r="Q21" i="5"/>
  <c r="R21" i="5" s="1"/>
  <c r="AB21" i="5" s="1"/>
  <c r="AC21" i="5" s="1"/>
  <c r="AD21" i="5" s="1"/>
  <c r="Y54" i="4"/>
  <c r="AR55" i="4"/>
  <c r="AV55" i="4" s="1"/>
  <c r="Z55" i="4"/>
  <c r="W55" i="4"/>
  <c r="X55" i="4"/>
  <c r="K21" i="4"/>
  <c r="M21" i="4"/>
  <c r="E55" i="4"/>
  <c r="AA54" i="4"/>
  <c r="AM21" i="4"/>
  <c r="AN21" i="4" s="1"/>
  <c r="AO21" i="4" s="1"/>
  <c r="L22" i="4" s="1"/>
  <c r="D56" i="4"/>
  <c r="C57" i="4"/>
  <c r="AQ56" i="4"/>
  <c r="BH22" i="3"/>
  <c r="BK22" i="3" s="1"/>
  <c r="BC22" i="3"/>
  <c r="BD22" i="3"/>
  <c r="BB22" i="3"/>
  <c r="BA22" i="3"/>
  <c r="AZ22" i="3"/>
  <c r="Y53" i="3"/>
  <c r="AR54" i="3"/>
  <c r="AV54" i="3" s="1"/>
  <c r="W54" i="3"/>
  <c r="D55" i="3"/>
  <c r="E55" i="3" s="1"/>
  <c r="AQ55" i="3"/>
  <c r="N21" i="4" l="1"/>
  <c r="H21" i="6"/>
  <c r="Q21" i="6"/>
  <c r="R21" i="6" s="1"/>
  <c r="AB21" i="6" s="1"/>
  <c r="AC21" i="6" s="1"/>
  <c r="AD21" i="6" s="1"/>
  <c r="AA56" i="6"/>
  <c r="E58" i="6"/>
  <c r="AR57" i="6"/>
  <c r="AV57" i="6" s="1"/>
  <c r="Z57" i="6"/>
  <c r="W57" i="6"/>
  <c r="Y57" i="6" s="1"/>
  <c r="X57" i="6"/>
  <c r="D58" i="6"/>
  <c r="AQ58" i="6"/>
  <c r="C59" i="6"/>
  <c r="AA55" i="5"/>
  <c r="AR56" i="5"/>
  <c r="AV56" i="5" s="1"/>
  <c r="Z56" i="5"/>
  <c r="X56" i="5"/>
  <c r="W56" i="5"/>
  <c r="Y56" i="5" s="1"/>
  <c r="D57" i="5"/>
  <c r="C58" i="5"/>
  <c r="AQ57" i="5"/>
  <c r="E56" i="5"/>
  <c r="AK21" i="5"/>
  <c r="AL21" i="5" s="1"/>
  <c r="AI21" i="5"/>
  <c r="I21" i="5"/>
  <c r="AA55" i="4"/>
  <c r="D57" i="4"/>
  <c r="AQ57" i="4"/>
  <c r="C58" i="4"/>
  <c r="Y55" i="4"/>
  <c r="Z56" i="4"/>
  <c r="AR56" i="4"/>
  <c r="AV56" i="4" s="1"/>
  <c r="W56" i="4"/>
  <c r="X56" i="4"/>
  <c r="E56" i="4"/>
  <c r="BJ22" i="3"/>
  <c r="BM22" i="3"/>
  <c r="BL22" i="3"/>
  <c r="BI22" i="3"/>
  <c r="BE22" i="3"/>
  <c r="BF22" i="3" s="1"/>
  <c r="AQ56" i="3"/>
  <c r="D56" i="3"/>
  <c r="AR55" i="3"/>
  <c r="AV55" i="3" s="1"/>
  <c r="Y54" i="3"/>
  <c r="W55" i="3"/>
  <c r="O21" i="4" l="1"/>
  <c r="F22" i="4" s="1"/>
  <c r="C60" i="6"/>
  <c r="AQ59" i="6"/>
  <c r="D59" i="6"/>
  <c r="Z58" i="6"/>
  <c r="AR58" i="6"/>
  <c r="AV58" i="6" s="1"/>
  <c r="E59" i="6"/>
  <c r="X58" i="6"/>
  <c r="W58" i="6"/>
  <c r="Y58" i="6" s="1"/>
  <c r="AK21" i="6"/>
  <c r="AL21" i="6" s="1"/>
  <c r="AI21" i="6"/>
  <c r="AA57" i="6"/>
  <c r="I21" i="6"/>
  <c r="AA56" i="5"/>
  <c r="AR57" i="5"/>
  <c r="AV57" i="5" s="1"/>
  <c r="Z57" i="5"/>
  <c r="E58" i="5"/>
  <c r="X57" i="5"/>
  <c r="W57" i="5"/>
  <c r="Y57" i="5" s="1"/>
  <c r="K21" i="5"/>
  <c r="M21" i="5"/>
  <c r="AM21" i="5"/>
  <c r="AN21" i="5" s="1"/>
  <c r="AO21" i="5" s="1"/>
  <c r="L22" i="5" s="1"/>
  <c r="E57" i="5"/>
  <c r="D58" i="5"/>
  <c r="AQ58" i="5"/>
  <c r="C59" i="5"/>
  <c r="AR57" i="4"/>
  <c r="AV57" i="4" s="1"/>
  <c r="Z57" i="4"/>
  <c r="X57" i="4"/>
  <c r="W57" i="4"/>
  <c r="Y57" i="4" s="1"/>
  <c r="E57" i="4"/>
  <c r="AA56" i="4"/>
  <c r="Y56" i="4"/>
  <c r="D58" i="4"/>
  <c r="E58" i="4" s="1"/>
  <c r="AQ58" i="4"/>
  <c r="C59" i="4"/>
  <c r="BN22" i="3"/>
  <c r="BO22" i="3" s="1"/>
  <c r="BP22" i="3" s="1"/>
  <c r="BQ22" i="3" s="1"/>
  <c r="D57" i="3"/>
  <c r="AQ57" i="3"/>
  <c r="Y55" i="3"/>
  <c r="AR56" i="3"/>
  <c r="AV56" i="3" s="1"/>
  <c r="W56" i="3"/>
  <c r="E56" i="3"/>
  <c r="AS22" i="4" l="1"/>
  <c r="AW22" i="4" s="1"/>
  <c r="G22" i="4"/>
  <c r="AM21" i="6"/>
  <c r="AN21" i="6" s="1"/>
  <c r="AO21" i="6" s="1"/>
  <c r="L22" i="6" s="1"/>
  <c r="N21" i="5"/>
  <c r="O21" i="5" s="1"/>
  <c r="F22" i="5" s="1"/>
  <c r="G22" i="5" s="1"/>
  <c r="D60" i="6"/>
  <c r="C61" i="6"/>
  <c r="AQ60" i="6"/>
  <c r="AA58" i="6"/>
  <c r="K21" i="6"/>
  <c r="M21" i="6"/>
  <c r="E60" i="6"/>
  <c r="AR59" i="6"/>
  <c r="AV59" i="6" s="1"/>
  <c r="Z59" i="6"/>
  <c r="X59" i="6"/>
  <c r="W59" i="6"/>
  <c r="Y59" i="6" s="1"/>
  <c r="AA57" i="5"/>
  <c r="D59" i="5"/>
  <c r="C60" i="5"/>
  <c r="AQ59" i="5"/>
  <c r="Z58" i="5"/>
  <c r="AR58" i="5"/>
  <c r="AV58" i="5" s="1"/>
  <c r="W58" i="5"/>
  <c r="X58" i="5"/>
  <c r="AQ59" i="4"/>
  <c r="D59" i="4"/>
  <c r="C60" i="4"/>
  <c r="Z58" i="4"/>
  <c r="E59" i="4"/>
  <c r="AR58" i="4"/>
  <c r="AV58" i="4" s="1"/>
  <c r="X58" i="4"/>
  <c r="W58" i="4"/>
  <c r="Y58" i="4" s="1"/>
  <c r="AA57" i="4"/>
  <c r="H22" i="3"/>
  <c r="I22" i="3" s="1"/>
  <c r="M22" i="3" s="1"/>
  <c r="Q22" i="3"/>
  <c r="R22" i="3" s="1"/>
  <c r="AB22" i="3" s="1"/>
  <c r="AC22" i="3" s="1"/>
  <c r="AD22" i="3" s="1"/>
  <c r="AQ58" i="3"/>
  <c r="D58" i="3"/>
  <c r="E58" i="3" s="1"/>
  <c r="Y56" i="3"/>
  <c r="W57" i="3"/>
  <c r="AR57" i="3"/>
  <c r="AV57" i="3" s="1"/>
  <c r="E57" i="3"/>
  <c r="AY22" i="4" l="1"/>
  <c r="BH22" i="4"/>
  <c r="AS22" i="5"/>
  <c r="AW22" i="5" s="1"/>
  <c r="N21" i="6"/>
  <c r="O21" i="6" s="1"/>
  <c r="F22" i="6" s="1"/>
  <c r="AA59" i="6"/>
  <c r="C62" i="6"/>
  <c r="AQ61" i="6"/>
  <c r="D61" i="6"/>
  <c r="Z60" i="6"/>
  <c r="E61" i="6"/>
  <c r="AR60" i="6"/>
  <c r="AV60" i="6" s="1"/>
  <c r="W60" i="6"/>
  <c r="Y60" i="6" s="1"/>
  <c r="X60" i="6"/>
  <c r="D60" i="5"/>
  <c r="C61" i="5"/>
  <c r="AQ60" i="5"/>
  <c r="AR59" i="5"/>
  <c r="AV59" i="5" s="1"/>
  <c r="Z59" i="5"/>
  <c r="X59" i="5"/>
  <c r="W59" i="5"/>
  <c r="Y59" i="5" s="1"/>
  <c r="Y58" i="5"/>
  <c r="E59" i="5"/>
  <c r="BH22" i="5"/>
  <c r="AY22" i="5"/>
  <c r="AA58" i="5"/>
  <c r="AA58" i="4"/>
  <c r="AR59" i="4"/>
  <c r="AV59" i="4" s="1"/>
  <c r="Z59" i="4"/>
  <c r="X59" i="4"/>
  <c r="W59" i="4"/>
  <c r="Y59" i="4" s="1"/>
  <c r="D60" i="4"/>
  <c r="C61" i="4"/>
  <c r="AQ60" i="4"/>
  <c r="K22" i="3"/>
  <c r="N22" i="3" s="1"/>
  <c r="O22" i="3" s="1"/>
  <c r="F23" i="3" s="1"/>
  <c r="AI22" i="3"/>
  <c r="AK22" i="3"/>
  <c r="AL22" i="3" s="1"/>
  <c r="Y57" i="3"/>
  <c r="AR58" i="3"/>
  <c r="AV58" i="3" s="1"/>
  <c r="W58" i="3"/>
  <c r="D59" i="3"/>
  <c r="E59" i="3" s="1"/>
  <c r="AQ59" i="3"/>
  <c r="BL22" i="4" l="1"/>
  <c r="BI22" i="4"/>
  <c r="BJ22" i="4"/>
  <c r="BM22" i="4"/>
  <c r="BK22" i="4"/>
  <c r="BA22" i="4"/>
  <c r="BC22" i="4"/>
  <c r="BD22" i="4"/>
  <c r="BB22" i="4"/>
  <c r="AZ22" i="4"/>
  <c r="E62" i="6"/>
  <c r="AR61" i="6"/>
  <c r="AV61" i="6" s="1"/>
  <c r="Z61" i="6"/>
  <c r="X61" i="6"/>
  <c r="W61" i="6"/>
  <c r="Y61" i="6" s="1"/>
  <c r="AA60" i="6"/>
  <c r="D62" i="6"/>
  <c r="AQ62" i="6"/>
  <c r="C63" i="6"/>
  <c r="AS22" i="6"/>
  <c r="AW22" i="6" s="1"/>
  <c r="G22" i="6"/>
  <c r="BM22" i="5"/>
  <c r="BL22" i="5"/>
  <c r="BK22" i="5"/>
  <c r="BI22" i="5"/>
  <c r="BJ22" i="5"/>
  <c r="Z60" i="5"/>
  <c r="E61" i="5"/>
  <c r="AR60" i="5"/>
  <c r="AV60" i="5" s="1"/>
  <c r="W60" i="5"/>
  <c r="Y60" i="5" s="1"/>
  <c r="X60" i="5"/>
  <c r="E60" i="5"/>
  <c r="AA59" i="5"/>
  <c r="BD22" i="5"/>
  <c r="BC22" i="5"/>
  <c r="BA22" i="5"/>
  <c r="AZ22" i="5"/>
  <c r="BB22" i="5"/>
  <c r="D61" i="5"/>
  <c r="C62" i="5"/>
  <c r="AQ61" i="5"/>
  <c r="Z60" i="4"/>
  <c r="AR60" i="4"/>
  <c r="AV60" i="4" s="1"/>
  <c r="X60" i="4"/>
  <c r="W60" i="4"/>
  <c r="Y60" i="4" s="1"/>
  <c r="C62" i="4"/>
  <c r="AQ61" i="4"/>
  <c r="D61" i="4"/>
  <c r="AA59" i="4"/>
  <c r="E60" i="4"/>
  <c r="AM22" i="3"/>
  <c r="AN22" i="3" s="1"/>
  <c r="AO22" i="3" s="1"/>
  <c r="L23" i="3" s="1"/>
  <c r="G23" i="3"/>
  <c r="AS23" i="3"/>
  <c r="AW23" i="3" s="1"/>
  <c r="BH23" i="3" s="1"/>
  <c r="AQ60" i="3"/>
  <c r="D60" i="3"/>
  <c r="AR59" i="3"/>
  <c r="AV59" i="3" s="1"/>
  <c r="E60" i="3"/>
  <c r="W59" i="3"/>
  <c r="Y58" i="3"/>
  <c r="BN22" i="4" l="1"/>
  <c r="BO22" i="4" s="1"/>
  <c r="BP22" i="4" s="1"/>
  <c r="BQ22" i="4" s="1"/>
  <c r="BE22" i="4"/>
  <c r="BF22" i="4" s="1"/>
  <c r="BN22" i="5"/>
  <c r="BO22" i="5" s="1"/>
  <c r="C64" i="6"/>
  <c r="AQ63" i="6"/>
  <c r="D63" i="6"/>
  <c r="Z62" i="6"/>
  <c r="E63" i="6"/>
  <c r="AR62" i="6"/>
  <c r="AV62" i="6" s="1"/>
  <c r="X62" i="6"/>
  <c r="W62" i="6"/>
  <c r="Y62" i="6" s="1"/>
  <c r="AY22" i="6"/>
  <c r="BH22" i="6"/>
  <c r="AA61" i="6"/>
  <c r="AA60" i="5"/>
  <c r="D62" i="5"/>
  <c r="C63" i="5"/>
  <c r="AQ62" i="5"/>
  <c r="AR61" i="5"/>
  <c r="AV61" i="5" s="1"/>
  <c r="Z61" i="5"/>
  <c r="E62" i="5"/>
  <c r="X61" i="5"/>
  <c r="W61" i="5"/>
  <c r="Y61" i="5" s="1"/>
  <c r="BE22" i="5"/>
  <c r="BF22" i="5" s="1"/>
  <c r="AA60" i="4"/>
  <c r="E62" i="4"/>
  <c r="AR61" i="4"/>
  <c r="AV61" i="4" s="1"/>
  <c r="Z61" i="4"/>
  <c r="X61" i="4"/>
  <c r="W61" i="4"/>
  <c r="Y61" i="4" s="1"/>
  <c r="H22" i="4"/>
  <c r="Q22" i="4"/>
  <c r="R22" i="4" s="1"/>
  <c r="AB22" i="4" s="1"/>
  <c r="AC22" i="4" s="1"/>
  <c r="AD22" i="4" s="1"/>
  <c r="D62" i="4"/>
  <c r="AQ62" i="4"/>
  <c r="C63" i="4"/>
  <c r="E61" i="4"/>
  <c r="AY23" i="3"/>
  <c r="BB23" i="3" s="1"/>
  <c r="D61" i="3"/>
  <c r="E61" i="3" s="1"/>
  <c r="AQ61" i="3"/>
  <c r="Y59" i="3"/>
  <c r="AR60" i="3"/>
  <c r="AV60" i="3" s="1"/>
  <c r="W60" i="3"/>
  <c r="BL23" i="3"/>
  <c r="BM23" i="3"/>
  <c r="BJ23" i="3"/>
  <c r="BI23" i="3"/>
  <c r="BK23" i="3"/>
  <c r="AR63" i="6" l="1"/>
  <c r="AV63" i="6" s="1"/>
  <c r="Z63" i="6"/>
  <c r="X63" i="6"/>
  <c r="W63" i="6"/>
  <c r="Y63" i="6" s="1"/>
  <c r="AA62" i="6"/>
  <c r="BM22" i="6"/>
  <c r="BL22" i="6"/>
  <c r="BI22" i="6"/>
  <c r="BK22" i="6"/>
  <c r="BJ22" i="6"/>
  <c r="BD22" i="6"/>
  <c r="BC22" i="6"/>
  <c r="AZ22" i="6"/>
  <c r="BA22" i="6"/>
  <c r="BB22" i="6"/>
  <c r="D64" i="6"/>
  <c r="E64" i="6" s="1"/>
  <c r="C65" i="6"/>
  <c r="AQ64" i="6"/>
  <c r="D63" i="5"/>
  <c r="C64" i="5"/>
  <c r="AQ63" i="5"/>
  <c r="BP22" i="5"/>
  <c r="BQ22" i="5" s="1"/>
  <c r="Z62" i="5"/>
  <c r="E63" i="5"/>
  <c r="AR62" i="5"/>
  <c r="AV62" i="5" s="1"/>
  <c r="W62" i="5"/>
  <c r="X62" i="5"/>
  <c r="AA61" i="5"/>
  <c r="AA61" i="4"/>
  <c r="C64" i="4"/>
  <c r="AQ63" i="4"/>
  <c r="D63" i="4"/>
  <c r="AK22" i="4"/>
  <c r="AL22" i="4" s="1"/>
  <c r="AI22" i="4"/>
  <c r="Z62" i="4"/>
  <c r="E63" i="4"/>
  <c r="AR62" i="4"/>
  <c r="AV62" i="4" s="1"/>
  <c r="W62" i="4"/>
  <c r="Y62" i="4" s="1"/>
  <c r="X62" i="4"/>
  <c r="I22" i="4"/>
  <c r="BC23" i="3"/>
  <c r="BA23" i="3"/>
  <c r="BD23" i="3"/>
  <c r="AZ23" i="3"/>
  <c r="BN23" i="3"/>
  <c r="BO23" i="3" s="1"/>
  <c r="AQ62" i="3"/>
  <c r="D62" i="3"/>
  <c r="Y60" i="3"/>
  <c r="W61" i="3"/>
  <c r="E62" i="3"/>
  <c r="AR61" i="3"/>
  <c r="AV61" i="3" s="1"/>
  <c r="AA63" i="6" l="1"/>
  <c r="BE22" i="6"/>
  <c r="BF22" i="6" s="1"/>
  <c r="C66" i="6"/>
  <c r="AQ65" i="6"/>
  <c r="D65" i="6"/>
  <c r="Z64" i="6"/>
  <c r="E65" i="6"/>
  <c r="AR64" i="6"/>
  <c r="AV64" i="6" s="1"/>
  <c r="W64" i="6"/>
  <c r="X64" i="6"/>
  <c r="BN22" i="6"/>
  <c r="BO22" i="6" s="1"/>
  <c r="BP22" i="6" s="1"/>
  <c r="H22" i="5"/>
  <c r="Q22" i="5"/>
  <c r="R22" i="5" s="1"/>
  <c r="AB22" i="5" s="1"/>
  <c r="AC22" i="5" s="1"/>
  <c r="AD22" i="5" s="1"/>
  <c r="D64" i="5"/>
  <c r="C65" i="5"/>
  <c r="AQ64" i="5"/>
  <c r="AR63" i="5"/>
  <c r="AV63" i="5" s="1"/>
  <c r="Z63" i="5"/>
  <c r="E64" i="5"/>
  <c r="W63" i="5"/>
  <c r="X63" i="5"/>
  <c r="Y62" i="5"/>
  <c r="AA62" i="5"/>
  <c r="AA62" i="4"/>
  <c r="AM22" i="4"/>
  <c r="AN22" i="4" s="1"/>
  <c r="AO22" i="4" s="1"/>
  <c r="L23" i="4" s="1"/>
  <c r="K22" i="4"/>
  <c r="M22" i="4"/>
  <c r="E64" i="4"/>
  <c r="AR63" i="4"/>
  <c r="AV63" i="4" s="1"/>
  <c r="Z63" i="4"/>
  <c r="X63" i="4"/>
  <c r="W63" i="4"/>
  <c r="Y63" i="4" s="1"/>
  <c r="D64" i="4"/>
  <c r="AQ64" i="4"/>
  <c r="C65" i="4"/>
  <c r="BE23" i="3"/>
  <c r="BF23" i="3" s="1"/>
  <c r="BP23" i="3" s="1"/>
  <c r="BQ23" i="3" s="1"/>
  <c r="D63" i="3"/>
  <c r="AQ63" i="3"/>
  <c r="Y61" i="3"/>
  <c r="AR62" i="3"/>
  <c r="AV62" i="3" s="1"/>
  <c r="W62" i="3"/>
  <c r="AA64" i="6" l="1"/>
  <c r="BQ22" i="6"/>
  <c r="E66" i="6"/>
  <c r="AR65" i="6"/>
  <c r="AV65" i="6" s="1"/>
  <c r="Z65" i="6"/>
  <c r="X65" i="6"/>
  <c r="W65" i="6"/>
  <c r="Y65" i="6" s="1"/>
  <c r="D66" i="6"/>
  <c r="AQ66" i="6"/>
  <c r="Y64" i="6"/>
  <c r="Y63" i="5"/>
  <c r="AA63" i="5"/>
  <c r="C66" i="5"/>
  <c r="D65" i="5"/>
  <c r="AQ65" i="5"/>
  <c r="AK22" i="5"/>
  <c r="AL22" i="5" s="1"/>
  <c r="AI22" i="5"/>
  <c r="Z64" i="5"/>
  <c r="E65" i="5"/>
  <c r="AR64" i="5"/>
  <c r="AV64" i="5" s="1"/>
  <c r="W64" i="5"/>
  <c r="Y64" i="5" s="1"/>
  <c r="X64" i="5"/>
  <c r="I22" i="5"/>
  <c r="Z64" i="4"/>
  <c r="E65" i="4"/>
  <c r="AR64" i="4"/>
  <c r="AV64" i="4" s="1"/>
  <c r="W64" i="4"/>
  <c r="X64" i="4"/>
  <c r="C66" i="4"/>
  <c r="AQ65" i="4"/>
  <c r="D65" i="4"/>
  <c r="N22" i="4"/>
  <c r="AA63" i="4"/>
  <c r="H23" i="3"/>
  <c r="I23" i="3" s="1"/>
  <c r="M23" i="3" s="1"/>
  <c r="Q23" i="3"/>
  <c r="R23" i="3" s="1"/>
  <c r="AB23" i="3" s="1"/>
  <c r="AC23" i="3" s="1"/>
  <c r="AD23" i="3" s="1"/>
  <c r="AQ64" i="3"/>
  <c r="D64" i="3"/>
  <c r="Y62" i="3"/>
  <c r="E64" i="3"/>
  <c r="AR63" i="3"/>
  <c r="AV63" i="3" s="1"/>
  <c r="W63" i="3"/>
  <c r="E63" i="3"/>
  <c r="O22" i="4" l="1"/>
  <c r="F23" i="4" s="1"/>
  <c r="H22" i="6"/>
  <c r="Q22" i="6"/>
  <c r="R22" i="6" s="1"/>
  <c r="AB22" i="6" s="1"/>
  <c r="AC22" i="6" s="1"/>
  <c r="AD22" i="6" s="1"/>
  <c r="AA65" i="6"/>
  <c r="Z66" i="6"/>
  <c r="AR66" i="6"/>
  <c r="AV66" i="6" s="1"/>
  <c r="W66" i="6"/>
  <c r="Y66" i="6" s="1"/>
  <c r="X66" i="6"/>
  <c r="AA64" i="5"/>
  <c r="K22" i="5"/>
  <c r="M22" i="5"/>
  <c r="AR65" i="5"/>
  <c r="AV65" i="5" s="1"/>
  <c r="Z65" i="5"/>
  <c r="X65" i="5"/>
  <c r="W65" i="5"/>
  <c r="D66" i="5"/>
  <c r="E66" i="5" s="1"/>
  <c r="AQ66" i="5"/>
  <c r="AM22" i="5"/>
  <c r="AN22" i="5" s="1"/>
  <c r="AO22" i="5" s="1"/>
  <c r="L23" i="5" s="1"/>
  <c r="E66" i="4"/>
  <c r="AR65" i="4"/>
  <c r="AV65" i="4" s="1"/>
  <c r="Z65" i="4"/>
  <c r="X65" i="4"/>
  <c r="W65" i="4"/>
  <c r="AA64" i="4"/>
  <c r="Y64" i="4"/>
  <c r="D66" i="4"/>
  <c r="AQ66" i="4"/>
  <c r="AK23" i="3"/>
  <c r="AL23" i="3" s="1"/>
  <c r="AI23" i="3"/>
  <c r="Y63" i="3"/>
  <c r="AR64" i="3"/>
  <c r="AV64" i="3" s="1"/>
  <c r="W64" i="3"/>
  <c r="K23" i="3"/>
  <c r="D65" i="3"/>
  <c r="AQ65" i="3"/>
  <c r="AS23" i="4" l="1"/>
  <c r="AW23" i="4" s="1"/>
  <c r="G23" i="4"/>
  <c r="AK22" i="6"/>
  <c r="AL22" i="6" s="1"/>
  <c r="AI22" i="6"/>
  <c r="AM22" i="6" s="1"/>
  <c r="AN22" i="6" s="1"/>
  <c r="AO22" i="6" s="1"/>
  <c r="L23" i="6" s="1"/>
  <c r="I22" i="6"/>
  <c r="AA66" i="6"/>
  <c r="AA65" i="5"/>
  <c r="Z66" i="5"/>
  <c r="AR66" i="5"/>
  <c r="AV66" i="5" s="1"/>
  <c r="X66" i="5"/>
  <c r="W66" i="5"/>
  <c r="Y66" i="5" s="1"/>
  <c r="N22" i="5"/>
  <c r="O22" i="5" s="1"/>
  <c r="F23" i="5" s="1"/>
  <c r="Y65" i="5"/>
  <c r="AA65" i="4"/>
  <c r="Z66" i="4"/>
  <c r="AR66" i="4"/>
  <c r="AV66" i="4" s="1"/>
  <c r="X66" i="4"/>
  <c r="W66" i="4"/>
  <c r="Y66" i="4" s="1"/>
  <c r="BH23" i="4"/>
  <c r="AY23" i="4"/>
  <c r="Y65" i="4"/>
  <c r="AM23" i="3"/>
  <c r="AN23" i="3" s="1"/>
  <c r="AO23" i="3" s="1"/>
  <c r="L24" i="3" s="1"/>
  <c r="AQ66" i="3"/>
  <c r="D66" i="3"/>
  <c r="AR65" i="3"/>
  <c r="AV65" i="3" s="1"/>
  <c r="E66" i="3"/>
  <c r="Y64" i="3"/>
  <c r="W65" i="3"/>
  <c r="E65" i="3"/>
  <c r="N23" i="3"/>
  <c r="O23" i="3" s="1"/>
  <c r="F24" i="3" s="1"/>
  <c r="K22" i="6" l="1"/>
  <c r="M22" i="6"/>
  <c r="AS23" i="5"/>
  <c r="AW23" i="5" s="1"/>
  <c r="G23" i="5"/>
  <c r="AA66" i="5"/>
  <c r="BM23" i="4"/>
  <c r="BL23" i="4"/>
  <c r="BJ23" i="4"/>
  <c r="BK23" i="4"/>
  <c r="BI23" i="4"/>
  <c r="AA66" i="4"/>
  <c r="BD23" i="4"/>
  <c r="BC23" i="4"/>
  <c r="BB23" i="4"/>
  <c r="BA23" i="4"/>
  <c r="AZ23" i="4"/>
  <c r="AS24" i="3"/>
  <c r="AW24" i="3" s="1"/>
  <c r="G24" i="3"/>
  <c r="Y65" i="3"/>
  <c r="AR66" i="3"/>
  <c r="AV66" i="3" s="1"/>
  <c r="W66" i="3"/>
  <c r="Y66" i="3" s="1"/>
  <c r="BN23" i="4" l="1"/>
  <c r="BO23" i="4" s="1"/>
  <c r="N22" i="6"/>
  <c r="O22" i="6" s="1"/>
  <c r="F23" i="6" s="1"/>
  <c r="AY23" i="5"/>
  <c r="BH23" i="5"/>
  <c r="BE23" i="4"/>
  <c r="BF23" i="4" s="1"/>
  <c r="BH24" i="3"/>
  <c r="AY24" i="3"/>
  <c r="BP23" i="4" l="1"/>
  <c r="BQ23" i="4" s="1"/>
  <c r="AS23" i="6"/>
  <c r="AW23" i="6" s="1"/>
  <c r="G23" i="6"/>
  <c r="BM23" i="5"/>
  <c r="BL23" i="5"/>
  <c r="BK23" i="5"/>
  <c r="BJ23" i="5"/>
  <c r="BI23" i="5"/>
  <c r="BN23" i="5" s="1"/>
  <c r="BO23" i="5" s="1"/>
  <c r="BD23" i="5"/>
  <c r="BC23" i="5"/>
  <c r="BA23" i="5"/>
  <c r="BB23" i="5"/>
  <c r="AZ23" i="5"/>
  <c r="BC24" i="3"/>
  <c r="BD24" i="3"/>
  <c r="AZ24" i="3"/>
  <c r="BA24" i="3"/>
  <c r="BB24" i="3"/>
  <c r="BL24" i="3"/>
  <c r="BM24" i="3"/>
  <c r="BK24" i="3"/>
  <c r="BJ24" i="3"/>
  <c r="BI24" i="3"/>
  <c r="BH23" i="6" l="1"/>
  <c r="AY23" i="6"/>
  <c r="BE23" i="5"/>
  <c r="BF23" i="5" s="1"/>
  <c r="H23" i="4"/>
  <c r="Q23" i="4"/>
  <c r="R23" i="4" s="1"/>
  <c r="AB23" i="4" s="1"/>
  <c r="AC23" i="4" s="1"/>
  <c r="AD23" i="4" s="1"/>
  <c r="BE24" i="3"/>
  <c r="BF24" i="3" s="1"/>
  <c r="BN24" i="3"/>
  <c r="BO24" i="3" s="1"/>
  <c r="BM23" i="6" l="1"/>
  <c r="BL23" i="6"/>
  <c r="BJ23" i="6"/>
  <c r="BK23" i="6"/>
  <c r="BI23" i="6"/>
  <c r="BD23" i="6"/>
  <c r="BC23" i="6"/>
  <c r="BA23" i="6"/>
  <c r="BB23" i="6"/>
  <c r="AZ23" i="6"/>
  <c r="BP23" i="5"/>
  <c r="BQ23" i="5" s="1"/>
  <c r="AK23" i="4"/>
  <c r="AL23" i="4" s="1"/>
  <c r="AI23" i="4"/>
  <c r="I23" i="4"/>
  <c r="BP24" i="3"/>
  <c r="BQ24" i="3" s="1"/>
  <c r="BE23" i="6" l="1"/>
  <c r="BF23" i="6" s="1"/>
  <c r="AM23" i="4"/>
  <c r="AN23" i="4" s="1"/>
  <c r="AO23" i="4" s="1"/>
  <c r="L24" i="4" s="1"/>
  <c r="BN23" i="6"/>
  <c r="BO23" i="6" s="1"/>
  <c r="BP23" i="6" s="1"/>
  <c r="BQ23" i="6" s="1"/>
  <c r="H23" i="5"/>
  <c r="Q23" i="5"/>
  <c r="R23" i="5" s="1"/>
  <c r="AB23" i="5" s="1"/>
  <c r="AC23" i="5" s="1"/>
  <c r="AD23" i="5" s="1"/>
  <c r="K23" i="4"/>
  <c r="M23" i="4"/>
  <c r="H24" i="3"/>
  <c r="I24" i="3" s="1"/>
  <c r="M24" i="3" s="1"/>
  <c r="Q24" i="3"/>
  <c r="R24" i="3" s="1"/>
  <c r="AB24" i="3" s="1"/>
  <c r="AC24" i="3" s="1"/>
  <c r="AD24" i="3" s="1"/>
  <c r="H23" i="6" l="1"/>
  <c r="Q23" i="6"/>
  <c r="R23" i="6" s="1"/>
  <c r="AB23" i="6" s="1"/>
  <c r="AC23" i="6" s="1"/>
  <c r="AD23" i="6" s="1"/>
  <c r="AI23" i="5"/>
  <c r="AK23" i="5"/>
  <c r="AL23" i="5" s="1"/>
  <c r="I23" i="5"/>
  <c r="N23" i="4"/>
  <c r="AI24" i="3"/>
  <c r="AK24" i="3"/>
  <c r="AL24" i="3" s="1"/>
  <c r="K24" i="3"/>
  <c r="O23" i="4" l="1"/>
  <c r="F24" i="4" s="1"/>
  <c r="I23" i="6"/>
  <c r="AK23" i="6"/>
  <c r="AL23" i="6" s="1"/>
  <c r="AI23" i="6"/>
  <c r="K23" i="5"/>
  <c r="M23" i="5"/>
  <c r="AM23" i="5"/>
  <c r="AN23" i="5" s="1"/>
  <c r="AO23" i="5" s="1"/>
  <c r="L24" i="5" s="1"/>
  <c r="AM24" i="3"/>
  <c r="AN24" i="3" s="1"/>
  <c r="AO24" i="3" s="1"/>
  <c r="L25" i="3" s="1"/>
  <c r="N24" i="3"/>
  <c r="O24" i="3" s="1"/>
  <c r="F25" i="3" s="1"/>
  <c r="AS24" i="4" l="1"/>
  <c r="AW24" i="4" s="1"/>
  <c r="G24" i="4"/>
  <c r="N23" i="5"/>
  <c r="O23" i="5" s="1"/>
  <c r="F24" i="5" s="1"/>
  <c r="G24" i="5" s="1"/>
  <c r="K23" i="6"/>
  <c r="M23" i="6"/>
  <c r="AM23" i="6"/>
  <c r="AN23" i="6" s="1"/>
  <c r="AO23" i="6" s="1"/>
  <c r="L24" i="6" s="1"/>
  <c r="BH24" i="4"/>
  <c r="AY24" i="4"/>
  <c r="AS25" i="3"/>
  <c r="AW25" i="3" s="1"/>
  <c r="G25" i="3"/>
  <c r="AS24" i="5" l="1"/>
  <c r="AW24" i="5" s="1"/>
  <c r="BH24" i="5" s="1"/>
  <c r="N23" i="6"/>
  <c r="O23" i="6" s="1"/>
  <c r="F24" i="6" s="1"/>
  <c r="BD24" i="4"/>
  <c r="BC24" i="4"/>
  <c r="AZ24" i="4"/>
  <c r="BB24" i="4"/>
  <c r="BA24" i="4"/>
  <c r="BM24" i="4"/>
  <c r="BL24" i="4"/>
  <c r="BJ24" i="4"/>
  <c r="BI24" i="4"/>
  <c r="BK24" i="4"/>
  <c r="AY25" i="3"/>
  <c r="BH25" i="3"/>
  <c r="AY24" i="5" l="1"/>
  <c r="BD24" i="5" s="1"/>
  <c r="AS24" i="6"/>
  <c r="AW24" i="6" s="1"/>
  <c r="G24" i="6"/>
  <c r="BB24" i="5"/>
  <c r="BA24" i="5"/>
  <c r="AZ24" i="5"/>
  <c r="BM24" i="5"/>
  <c r="BL24" i="5"/>
  <c r="BI24" i="5"/>
  <c r="BJ24" i="5"/>
  <c r="BK24" i="5"/>
  <c r="BE24" i="4"/>
  <c r="BF24" i="4" s="1"/>
  <c r="BN24" i="4"/>
  <c r="BO24" i="4" s="1"/>
  <c r="BP24" i="4" s="1"/>
  <c r="BM25" i="3"/>
  <c r="BL25" i="3"/>
  <c r="BK25" i="3"/>
  <c r="BJ25" i="3"/>
  <c r="BI25" i="3"/>
  <c r="BC25" i="3"/>
  <c r="BD25" i="3"/>
  <c r="BA25" i="3"/>
  <c r="BB25" i="3"/>
  <c r="AZ25" i="3"/>
  <c r="BC24" i="5" l="1"/>
  <c r="BE24" i="5" s="1"/>
  <c r="BF24" i="5" s="1"/>
  <c r="BN24" i="5"/>
  <c r="BO24" i="5" s="1"/>
  <c r="BH24" i="6"/>
  <c r="AY24" i="6"/>
  <c r="BQ24" i="4"/>
  <c r="BN25" i="3"/>
  <c r="BO25" i="3" s="1"/>
  <c r="BE25" i="3"/>
  <c r="BF25" i="3" s="1"/>
  <c r="BP24" i="5" l="1"/>
  <c r="BM24" i="6"/>
  <c r="BL24" i="6"/>
  <c r="BJ24" i="6"/>
  <c r="BI24" i="6"/>
  <c r="BK24" i="6"/>
  <c r="BD24" i="6"/>
  <c r="BC24" i="6"/>
  <c r="BA24" i="6"/>
  <c r="AZ24" i="6"/>
  <c r="BB24" i="6"/>
  <c r="BQ24" i="5"/>
  <c r="H24" i="4"/>
  <c r="Q24" i="4"/>
  <c r="R24" i="4" s="1"/>
  <c r="AB24" i="4" s="1"/>
  <c r="AC24" i="4" s="1"/>
  <c r="AD24" i="4" s="1"/>
  <c r="BP25" i="3"/>
  <c r="BQ25" i="3" s="1"/>
  <c r="BN24" i="6" l="1"/>
  <c r="BO24" i="6" s="1"/>
  <c r="BE24" i="6"/>
  <c r="BF24" i="6" s="1"/>
  <c r="H24" i="5"/>
  <c r="Q24" i="5"/>
  <c r="R24" i="5" s="1"/>
  <c r="AB24" i="5" s="1"/>
  <c r="AC24" i="5" s="1"/>
  <c r="AD24" i="5" s="1"/>
  <c r="AK24" i="4"/>
  <c r="AL24" i="4" s="1"/>
  <c r="AI24" i="4"/>
  <c r="I24" i="4"/>
  <c r="H25" i="3"/>
  <c r="I25" i="3" s="1"/>
  <c r="M25" i="3" s="1"/>
  <c r="Q25" i="3"/>
  <c r="R25" i="3" s="1"/>
  <c r="AB25" i="3" s="1"/>
  <c r="AC25" i="3" s="1"/>
  <c r="AD25" i="3" s="1"/>
  <c r="AM24" i="4" l="1"/>
  <c r="AN24" i="4" s="1"/>
  <c r="AO24" i="4" s="1"/>
  <c r="L25" i="4" s="1"/>
  <c r="BP24" i="6"/>
  <c r="BQ24" i="6"/>
  <c r="AK24" i="5"/>
  <c r="AL24" i="5" s="1"/>
  <c r="AI24" i="5"/>
  <c r="I24" i="5"/>
  <c r="K24" i="4"/>
  <c r="M24" i="4"/>
  <c r="AI25" i="3"/>
  <c r="AK25" i="3"/>
  <c r="AL25" i="3" s="1"/>
  <c r="K25" i="3"/>
  <c r="AM24" i="5" l="1"/>
  <c r="AN24" i="5" s="1"/>
  <c r="AO24" i="5" s="1"/>
  <c r="L25" i="5" s="1"/>
  <c r="H24" i="6"/>
  <c r="Q24" i="6"/>
  <c r="R24" i="6" s="1"/>
  <c r="AB24" i="6" s="1"/>
  <c r="AC24" i="6" s="1"/>
  <c r="AD24" i="6" s="1"/>
  <c r="K24" i="5"/>
  <c r="M24" i="5"/>
  <c r="N24" i="4"/>
  <c r="AM25" i="3"/>
  <c r="AN25" i="3" s="1"/>
  <c r="AO25" i="3" s="1"/>
  <c r="L26" i="3" s="1"/>
  <c r="N25" i="3"/>
  <c r="O25" i="3" s="1"/>
  <c r="F26" i="3" s="1"/>
  <c r="O24" i="4" l="1"/>
  <c r="F25" i="4" s="1"/>
  <c r="AK24" i="6"/>
  <c r="AL24" i="6" s="1"/>
  <c r="AI24" i="6"/>
  <c r="I24" i="6"/>
  <c r="N24" i="5"/>
  <c r="O24" i="5" s="1"/>
  <c r="F25" i="5" s="1"/>
  <c r="AS26" i="3"/>
  <c r="AW26" i="3" s="1"/>
  <c r="G26" i="3"/>
  <c r="AS25" i="4" l="1"/>
  <c r="AW25" i="4" s="1"/>
  <c r="G25" i="4"/>
  <c r="AM24" i="6"/>
  <c r="AN24" i="6" s="1"/>
  <c r="AO24" i="6" s="1"/>
  <c r="L25" i="6" s="1"/>
  <c r="K24" i="6"/>
  <c r="M24" i="6"/>
  <c r="AS25" i="5"/>
  <c r="AW25" i="5" s="1"/>
  <c r="G25" i="5"/>
  <c r="AY25" i="4"/>
  <c r="BH25" i="4"/>
  <c r="AY26" i="3"/>
  <c r="BH26" i="3"/>
  <c r="N24" i="6" l="1"/>
  <c r="O24" i="6" s="1"/>
  <c r="F25" i="6" s="1"/>
  <c r="BH25" i="5"/>
  <c r="AY25" i="5"/>
  <c r="BM25" i="4"/>
  <c r="BL25" i="4"/>
  <c r="BI25" i="4"/>
  <c r="BK25" i="4"/>
  <c r="BJ25" i="4"/>
  <c r="BD25" i="4"/>
  <c r="BC25" i="4"/>
  <c r="BB25" i="4"/>
  <c r="BA25" i="4"/>
  <c r="AZ25" i="4"/>
  <c r="BL26" i="3"/>
  <c r="BM26" i="3"/>
  <c r="BK26" i="3"/>
  <c r="BJ26" i="3"/>
  <c r="BI26" i="3"/>
  <c r="BC26" i="3"/>
  <c r="BD26" i="3"/>
  <c r="BA26" i="3"/>
  <c r="BB26" i="3"/>
  <c r="AZ26" i="3"/>
  <c r="AS25" i="6" l="1"/>
  <c r="AW25" i="6" s="1"/>
  <c r="G25" i="6"/>
  <c r="BD25" i="5"/>
  <c r="BC25" i="5"/>
  <c r="BB25" i="5"/>
  <c r="BA25" i="5"/>
  <c r="AZ25" i="5"/>
  <c r="BM25" i="5"/>
  <c r="BL25" i="5"/>
  <c r="BK25" i="5"/>
  <c r="BJ25" i="5"/>
  <c r="BI25" i="5"/>
  <c r="BN25" i="4"/>
  <c r="BO25" i="4" s="1"/>
  <c r="BE25" i="4"/>
  <c r="BF25" i="4" s="1"/>
  <c r="BN26" i="3"/>
  <c r="BO26" i="3" s="1"/>
  <c r="BE26" i="3"/>
  <c r="BF26" i="3" s="1"/>
  <c r="BE25" i="5" l="1"/>
  <c r="BF25" i="5" s="1"/>
  <c r="BP25" i="4"/>
  <c r="BQ25" i="4" s="1"/>
  <c r="BH25" i="6"/>
  <c r="AY25" i="6"/>
  <c r="BN25" i="5"/>
  <c r="BO25" i="5" s="1"/>
  <c r="BP25" i="5" s="1"/>
  <c r="BQ25" i="5" s="1"/>
  <c r="BP26" i="3"/>
  <c r="BQ26" i="3" s="1"/>
  <c r="BD25" i="6" l="1"/>
  <c r="BC25" i="6"/>
  <c r="BA25" i="6"/>
  <c r="AZ25" i="6"/>
  <c r="BB25" i="6"/>
  <c r="BM25" i="6"/>
  <c r="BL25" i="6"/>
  <c r="BJ25" i="6"/>
  <c r="BI25" i="6"/>
  <c r="BK25" i="6"/>
  <c r="H25" i="5"/>
  <c r="Q25" i="5"/>
  <c r="R25" i="5" s="1"/>
  <c r="AB25" i="5" s="1"/>
  <c r="AC25" i="5" s="1"/>
  <c r="AD25" i="5" s="1"/>
  <c r="H25" i="4"/>
  <c r="Q25" i="4"/>
  <c r="R25" i="4" s="1"/>
  <c r="AB25" i="4" s="1"/>
  <c r="AC25" i="4" s="1"/>
  <c r="AD25" i="4" s="1"/>
  <c r="H26" i="3"/>
  <c r="I26" i="3" s="1"/>
  <c r="M26" i="3" s="1"/>
  <c r="Q26" i="3"/>
  <c r="R26" i="3" s="1"/>
  <c r="AB26" i="3" s="1"/>
  <c r="AC26" i="3" s="1"/>
  <c r="AD26" i="3" s="1"/>
  <c r="BN25" i="6" l="1"/>
  <c r="BO25" i="6" s="1"/>
  <c r="BE25" i="6"/>
  <c r="BF25" i="6" s="1"/>
  <c r="I25" i="5"/>
  <c r="AK25" i="5"/>
  <c r="AL25" i="5" s="1"/>
  <c r="AI25" i="5"/>
  <c r="AI25" i="4"/>
  <c r="AK25" i="4"/>
  <c r="AL25" i="4" s="1"/>
  <c r="I25" i="4"/>
  <c r="AK26" i="3"/>
  <c r="AL26" i="3" s="1"/>
  <c r="AI26" i="3"/>
  <c r="K26" i="3"/>
  <c r="BP25" i="6" l="1"/>
  <c r="BQ25" i="6" s="1"/>
  <c r="AM25" i="5"/>
  <c r="AN25" i="5" s="1"/>
  <c r="AO25" i="5" s="1"/>
  <c r="L26" i="5" s="1"/>
  <c r="K25" i="5"/>
  <c r="M25" i="5"/>
  <c r="K25" i="4"/>
  <c r="M25" i="4"/>
  <c r="AM25" i="4"/>
  <c r="AN25" i="4" s="1"/>
  <c r="AO25" i="4" s="1"/>
  <c r="L26" i="4" s="1"/>
  <c r="AM26" i="3"/>
  <c r="AN26" i="3" s="1"/>
  <c r="AO26" i="3" s="1"/>
  <c r="L27" i="3" s="1"/>
  <c r="N26" i="3"/>
  <c r="O26" i="3" s="1"/>
  <c r="F27" i="3" s="1"/>
  <c r="H25" i="6" l="1"/>
  <c r="Q25" i="6"/>
  <c r="R25" i="6" s="1"/>
  <c r="AB25" i="6" s="1"/>
  <c r="AC25" i="6" s="1"/>
  <c r="AD25" i="6" s="1"/>
  <c r="N25" i="5"/>
  <c r="O25" i="5" s="1"/>
  <c r="F26" i="5" s="1"/>
  <c r="N25" i="4"/>
  <c r="G27" i="3"/>
  <c r="AS27" i="3"/>
  <c r="AW27" i="3" s="1"/>
  <c r="BH27" i="3" s="1"/>
  <c r="O25" i="4" l="1"/>
  <c r="F26" i="4" s="1"/>
  <c r="AI25" i="6"/>
  <c r="AK25" i="6"/>
  <c r="AL25" i="6" s="1"/>
  <c r="I25" i="6"/>
  <c r="AS26" i="5"/>
  <c r="AW26" i="5" s="1"/>
  <c r="G26" i="5"/>
  <c r="AY27" i="3"/>
  <c r="BC27" i="3" s="1"/>
  <c r="BL27" i="3"/>
  <c r="BM27" i="3"/>
  <c r="BJ27" i="3"/>
  <c r="BK27" i="3"/>
  <c r="BI27" i="3"/>
  <c r="G26" i="4" l="1"/>
  <c r="AS26" i="4"/>
  <c r="AW26" i="4" s="1"/>
  <c r="AM25" i="6"/>
  <c r="AN25" i="6" s="1"/>
  <c r="AO25" i="6" s="1"/>
  <c r="L26" i="6" s="1"/>
  <c r="K25" i="6"/>
  <c r="M25" i="6"/>
  <c r="BH26" i="5"/>
  <c r="AY26" i="5"/>
  <c r="AY26" i="4"/>
  <c r="BH26" i="4"/>
  <c r="AZ27" i="3"/>
  <c r="BA27" i="3"/>
  <c r="BD27" i="3"/>
  <c r="BB27" i="3"/>
  <c r="BN27" i="3"/>
  <c r="BO27" i="3" s="1"/>
  <c r="N25" i="6" l="1"/>
  <c r="O25" i="6" s="1"/>
  <c r="F26" i="6" s="1"/>
  <c r="BD26" i="5"/>
  <c r="BC26" i="5"/>
  <c r="BA26" i="5"/>
  <c r="AZ26" i="5"/>
  <c r="BB26" i="5"/>
  <c r="BM26" i="5"/>
  <c r="BL26" i="5"/>
  <c r="BJ26" i="5"/>
  <c r="BI26" i="5"/>
  <c r="BK26" i="5"/>
  <c r="BM26" i="4"/>
  <c r="BL26" i="4"/>
  <c r="BI26" i="4"/>
  <c r="BJ26" i="4"/>
  <c r="BK26" i="4"/>
  <c r="BD26" i="4"/>
  <c r="BC26" i="4"/>
  <c r="BA26" i="4"/>
  <c r="BB26" i="4"/>
  <c r="AZ26" i="4"/>
  <c r="BE27" i="3"/>
  <c r="BF27" i="3" s="1"/>
  <c r="BP27" i="3" s="1"/>
  <c r="BQ27" i="3" s="1"/>
  <c r="BE26" i="5" l="1"/>
  <c r="BF26" i="5" s="1"/>
  <c r="AS26" i="6"/>
  <c r="AW26" i="6" s="1"/>
  <c r="G26" i="6"/>
  <c r="BN26" i="5"/>
  <c r="BO26" i="5" s="1"/>
  <c r="BN26" i="4"/>
  <c r="BO26" i="4" s="1"/>
  <c r="BE26" i="4"/>
  <c r="BF26" i="4" s="1"/>
  <c r="H27" i="3"/>
  <c r="I27" i="3" s="1"/>
  <c r="M27" i="3" s="1"/>
  <c r="Q27" i="3"/>
  <c r="R27" i="3" s="1"/>
  <c r="AB27" i="3" s="1"/>
  <c r="AC27" i="3" s="1"/>
  <c r="AD27" i="3" s="1"/>
  <c r="BP26" i="5" l="1"/>
  <c r="BQ26" i="5" s="1"/>
  <c r="H26" i="5" s="1"/>
  <c r="AY26" i="6"/>
  <c r="BH26" i="6"/>
  <c r="Q26" i="5"/>
  <c r="R26" i="5" s="1"/>
  <c r="AB26" i="5" s="1"/>
  <c r="AC26" i="5" s="1"/>
  <c r="AD26" i="5" s="1"/>
  <c r="BP26" i="4"/>
  <c r="BQ26" i="4" s="1"/>
  <c r="AK27" i="3"/>
  <c r="AL27" i="3" s="1"/>
  <c r="AI27" i="3"/>
  <c r="K27" i="3"/>
  <c r="BD26" i="6" l="1"/>
  <c r="BC26" i="6"/>
  <c r="BB26" i="6"/>
  <c r="AZ26" i="6"/>
  <c r="BA26" i="6"/>
  <c r="BM26" i="6"/>
  <c r="BL26" i="6"/>
  <c r="BJ26" i="6"/>
  <c r="BK26" i="6"/>
  <c r="BI26" i="6"/>
  <c r="AK26" i="5"/>
  <c r="AL26" i="5" s="1"/>
  <c r="AI26" i="5"/>
  <c r="I26" i="5"/>
  <c r="H26" i="4"/>
  <c r="Q26" i="4"/>
  <c r="R26" i="4" s="1"/>
  <c r="AB26" i="4" s="1"/>
  <c r="AC26" i="4" s="1"/>
  <c r="AD26" i="4" s="1"/>
  <c r="AM27" i="3"/>
  <c r="AN27" i="3" s="1"/>
  <c r="AO27" i="3" s="1"/>
  <c r="L28" i="3" s="1"/>
  <c r="N27" i="3"/>
  <c r="O27" i="3" s="1"/>
  <c r="F28" i="3" s="1"/>
  <c r="BE26" i="6" l="1"/>
  <c r="BF26" i="6" s="1"/>
  <c r="AM26" i="5"/>
  <c r="AN26" i="5" s="1"/>
  <c r="AO26" i="5" s="1"/>
  <c r="L27" i="5" s="1"/>
  <c r="BN26" i="6"/>
  <c r="BO26" i="6" s="1"/>
  <c r="K26" i="5"/>
  <c r="M26" i="5"/>
  <c r="AK26" i="4"/>
  <c r="AL26" i="4" s="1"/>
  <c r="AI26" i="4"/>
  <c r="I26" i="4"/>
  <c r="AS28" i="3"/>
  <c r="AW28" i="3" s="1"/>
  <c r="G28" i="3"/>
  <c r="BP26" i="6" l="1"/>
  <c r="BQ26" i="6" s="1"/>
  <c r="H26" i="6" s="1"/>
  <c r="AM26" i="4"/>
  <c r="AN26" i="4" s="1"/>
  <c r="AO26" i="4" s="1"/>
  <c r="L27" i="4" s="1"/>
  <c r="N26" i="5"/>
  <c r="O26" i="5" s="1"/>
  <c r="F27" i="5" s="1"/>
  <c r="K26" i="4"/>
  <c r="M26" i="4"/>
  <c r="BH28" i="3"/>
  <c r="AY28" i="3"/>
  <c r="Q26" i="6" l="1"/>
  <c r="R26" i="6" s="1"/>
  <c r="AB26" i="6" s="1"/>
  <c r="AC26" i="6" s="1"/>
  <c r="AD26" i="6" s="1"/>
  <c r="AK26" i="6" s="1"/>
  <c r="AL26" i="6" s="1"/>
  <c r="I26" i="6"/>
  <c r="AS27" i="5"/>
  <c r="AW27" i="5" s="1"/>
  <c r="G27" i="5"/>
  <c r="N26" i="4"/>
  <c r="BD28" i="3"/>
  <c r="BC28" i="3"/>
  <c r="BB28" i="3"/>
  <c r="BA28" i="3"/>
  <c r="AZ28" i="3"/>
  <c r="BL28" i="3"/>
  <c r="BM28" i="3"/>
  <c r="BJ28" i="3"/>
  <c r="BI28" i="3"/>
  <c r="BK28" i="3"/>
  <c r="O26" i="4" l="1"/>
  <c r="F27" i="4" s="1"/>
  <c r="AI26" i="6"/>
  <c r="AM26" i="6" s="1"/>
  <c r="AN26" i="6" s="1"/>
  <c r="AO26" i="6" s="1"/>
  <c r="L27" i="6" s="1"/>
  <c r="K26" i="6"/>
  <c r="M26" i="6"/>
  <c r="AY27" i="5"/>
  <c r="BH27" i="5"/>
  <c r="BE28" i="3"/>
  <c r="BF28" i="3" s="1"/>
  <c r="BN28" i="3"/>
  <c r="BO28" i="3" s="1"/>
  <c r="G27" i="4" l="1"/>
  <c r="AS27" i="4"/>
  <c r="AW27" i="4" s="1"/>
  <c r="N26" i="6"/>
  <c r="O26" i="6" s="1"/>
  <c r="F27" i="6" s="1"/>
  <c r="BM27" i="5"/>
  <c r="BL27" i="5"/>
  <c r="BJ27" i="5"/>
  <c r="BI27" i="5"/>
  <c r="BK27" i="5"/>
  <c r="BD27" i="5"/>
  <c r="BC27" i="5"/>
  <c r="BA27" i="5"/>
  <c r="AZ27" i="5"/>
  <c r="BB27" i="5"/>
  <c r="AY27" i="4"/>
  <c r="BH27" i="4"/>
  <c r="BP28" i="3"/>
  <c r="BQ28" i="3" s="1"/>
  <c r="AS27" i="6" l="1"/>
  <c r="AW27" i="6" s="1"/>
  <c r="G27" i="6"/>
  <c r="BN27" i="5"/>
  <c r="BO27" i="5" s="1"/>
  <c r="BE27" i="5"/>
  <c r="BF27" i="5" s="1"/>
  <c r="BM27" i="4"/>
  <c r="BL27" i="4"/>
  <c r="BI27" i="4"/>
  <c r="BK27" i="4"/>
  <c r="BJ27" i="4"/>
  <c r="BD27" i="4"/>
  <c r="BC27" i="4"/>
  <c r="BA27" i="4"/>
  <c r="AZ27" i="4"/>
  <c r="BB27" i="4"/>
  <c r="H28" i="3"/>
  <c r="I28" i="3" s="1"/>
  <c r="M28" i="3" s="1"/>
  <c r="Q28" i="3"/>
  <c r="R28" i="3" s="1"/>
  <c r="AB28" i="3" s="1"/>
  <c r="AC28" i="3" s="1"/>
  <c r="AD28" i="3" s="1"/>
  <c r="BH27" i="6" l="1"/>
  <c r="AY27" i="6"/>
  <c r="BP27" i="5"/>
  <c r="BQ27" i="5" s="1"/>
  <c r="BN27" i="4"/>
  <c r="BO27" i="4" s="1"/>
  <c r="BE27" i="4"/>
  <c r="BF27" i="4" s="1"/>
  <c r="K28" i="3"/>
  <c r="N28" i="3" s="1"/>
  <c r="O28" i="3" s="1"/>
  <c r="F29" i="3" s="1"/>
  <c r="AK28" i="3"/>
  <c r="AL28" i="3" s="1"/>
  <c r="AI28" i="3"/>
  <c r="BD27" i="6" l="1"/>
  <c r="BC27" i="6"/>
  <c r="BA27" i="6"/>
  <c r="BB27" i="6"/>
  <c r="AZ27" i="6"/>
  <c r="BM27" i="6"/>
  <c r="BL27" i="6"/>
  <c r="BK27" i="6"/>
  <c r="BJ27" i="6"/>
  <c r="BI27" i="6"/>
  <c r="H27" i="5"/>
  <c r="Q27" i="5"/>
  <c r="R27" i="5" s="1"/>
  <c r="AB27" i="5" s="1"/>
  <c r="AC27" i="5" s="1"/>
  <c r="AD27" i="5" s="1"/>
  <c r="BP27" i="4"/>
  <c r="BQ27" i="4" s="1"/>
  <c r="AM28" i="3"/>
  <c r="AN28" i="3" s="1"/>
  <c r="AO28" i="3" s="1"/>
  <c r="L29" i="3" s="1"/>
  <c r="AS29" i="3"/>
  <c r="AW29" i="3" s="1"/>
  <c r="G29" i="3"/>
  <c r="BE27" i="6" l="1"/>
  <c r="BF27" i="6" s="1"/>
  <c r="BN27" i="6"/>
  <c r="BO27" i="6" s="1"/>
  <c r="BP27" i="6" s="1"/>
  <c r="BQ27" i="6" s="1"/>
  <c r="AK27" i="5"/>
  <c r="AL27" i="5" s="1"/>
  <c r="AI27" i="5"/>
  <c r="I27" i="5"/>
  <c r="H27" i="4"/>
  <c r="Q27" i="4"/>
  <c r="R27" i="4" s="1"/>
  <c r="AB27" i="4" s="1"/>
  <c r="AC27" i="4" s="1"/>
  <c r="AD27" i="4" s="1"/>
  <c r="AY29" i="3"/>
  <c r="BH29" i="3"/>
  <c r="AM27" i="5" l="1"/>
  <c r="AN27" i="5" s="1"/>
  <c r="AO27" i="5" s="1"/>
  <c r="L28" i="5" s="1"/>
  <c r="H27" i="6"/>
  <c r="Q27" i="6"/>
  <c r="R27" i="6" s="1"/>
  <c r="AB27" i="6" s="1"/>
  <c r="AC27" i="6" s="1"/>
  <c r="AD27" i="6" s="1"/>
  <c r="K27" i="5"/>
  <c r="M27" i="5"/>
  <c r="AK27" i="4"/>
  <c r="AL27" i="4" s="1"/>
  <c r="AI27" i="4"/>
  <c r="I27" i="4"/>
  <c r="BL29" i="3"/>
  <c r="BM29" i="3"/>
  <c r="BK29" i="3"/>
  <c r="BI29" i="3"/>
  <c r="BJ29" i="3"/>
  <c r="BC29" i="3"/>
  <c r="BD29" i="3"/>
  <c r="BA29" i="3"/>
  <c r="AZ29" i="3"/>
  <c r="BB29" i="3"/>
  <c r="AM27" i="4" l="1"/>
  <c r="AN27" i="4" s="1"/>
  <c r="AO27" i="4" s="1"/>
  <c r="L28" i="4" s="1"/>
  <c r="AI27" i="6"/>
  <c r="AK27" i="6"/>
  <c r="AL27" i="6" s="1"/>
  <c r="I27" i="6"/>
  <c r="N27" i="5"/>
  <c r="O27" i="5" s="1"/>
  <c r="F28" i="5" s="1"/>
  <c r="K27" i="4"/>
  <c r="M27" i="4"/>
  <c r="BN29" i="3"/>
  <c r="BO29" i="3" s="1"/>
  <c r="BE29" i="3"/>
  <c r="BF29" i="3" s="1"/>
  <c r="K27" i="6" l="1"/>
  <c r="M27" i="6"/>
  <c r="AM27" i="6"/>
  <c r="AN27" i="6" s="1"/>
  <c r="AO27" i="6" s="1"/>
  <c r="L28" i="6" s="1"/>
  <c r="AS28" i="5"/>
  <c r="AW28" i="5" s="1"/>
  <c r="G28" i="5"/>
  <c r="N27" i="4"/>
  <c r="BP29" i="3"/>
  <c r="BQ29" i="3" s="1"/>
  <c r="O27" i="4" l="1"/>
  <c r="F28" i="4" s="1"/>
  <c r="N27" i="6"/>
  <c r="O27" i="6" s="1"/>
  <c r="F28" i="6" s="1"/>
  <c r="BH28" i="5"/>
  <c r="AY28" i="5"/>
  <c r="H29" i="3"/>
  <c r="I29" i="3" s="1"/>
  <c r="M29" i="3" s="1"/>
  <c r="Q29" i="3"/>
  <c r="R29" i="3" s="1"/>
  <c r="AB29" i="3" s="1"/>
  <c r="AC29" i="3" s="1"/>
  <c r="AD29" i="3" s="1"/>
  <c r="AS28" i="4" l="1"/>
  <c r="AW28" i="4" s="1"/>
  <c r="G28" i="4"/>
  <c r="AS28" i="6"/>
  <c r="AW28" i="6" s="1"/>
  <c r="G28" i="6"/>
  <c r="BD28" i="5"/>
  <c r="BC28" i="5"/>
  <c r="BA28" i="5"/>
  <c r="AZ28" i="5"/>
  <c r="BB28" i="5"/>
  <c r="BM28" i="5"/>
  <c r="BL28" i="5"/>
  <c r="BJ28" i="5"/>
  <c r="BI28" i="5"/>
  <c r="BK28" i="5"/>
  <c r="AY28" i="4"/>
  <c r="BH28" i="4"/>
  <c r="AK29" i="3"/>
  <c r="AL29" i="3" s="1"/>
  <c r="AI29" i="3"/>
  <c r="K29" i="3"/>
  <c r="BH28" i="6" l="1"/>
  <c r="AY28" i="6"/>
  <c r="BE28" i="5"/>
  <c r="BF28" i="5" s="1"/>
  <c r="BN28" i="5"/>
  <c r="BO28" i="5" s="1"/>
  <c r="BM28" i="4"/>
  <c r="BL28" i="4"/>
  <c r="BK28" i="4"/>
  <c r="BJ28" i="4"/>
  <c r="BI28" i="4"/>
  <c r="BD28" i="4"/>
  <c r="BC28" i="4"/>
  <c r="BA28" i="4"/>
  <c r="AZ28" i="4"/>
  <c r="BB28" i="4"/>
  <c r="AM29" i="3"/>
  <c r="AN29" i="3" s="1"/>
  <c r="AO29" i="3" s="1"/>
  <c r="L30" i="3" s="1"/>
  <c r="N29" i="3"/>
  <c r="O29" i="3" s="1"/>
  <c r="F30" i="3" s="1"/>
  <c r="BP28" i="5" l="1"/>
  <c r="BQ28" i="5" s="1"/>
  <c r="BN28" i="4"/>
  <c r="BO28" i="4" s="1"/>
  <c r="BD28" i="6"/>
  <c r="BC28" i="6"/>
  <c r="AZ28" i="6"/>
  <c r="BA28" i="6"/>
  <c r="BB28" i="6"/>
  <c r="BM28" i="6"/>
  <c r="BL28" i="6"/>
  <c r="BI28" i="6"/>
  <c r="BJ28" i="6"/>
  <c r="BK28" i="6"/>
  <c r="BE28" i="4"/>
  <c r="BF28" i="4" s="1"/>
  <c r="AS30" i="3"/>
  <c r="AW30" i="3" s="1"/>
  <c r="G30" i="3"/>
  <c r="BN28" i="6" l="1"/>
  <c r="BO28" i="6" s="1"/>
  <c r="BE28" i="6"/>
  <c r="BF28" i="6" s="1"/>
  <c r="H28" i="5"/>
  <c r="Q28" i="5"/>
  <c r="R28" i="5" s="1"/>
  <c r="AB28" i="5" s="1"/>
  <c r="AC28" i="5" s="1"/>
  <c r="AD28" i="5" s="1"/>
  <c r="BP28" i="4"/>
  <c r="BQ28" i="4" s="1"/>
  <c r="AY30" i="3"/>
  <c r="BH30" i="3"/>
  <c r="BP28" i="6" l="1"/>
  <c r="BQ28" i="6" s="1"/>
  <c r="AK28" i="5"/>
  <c r="AL28" i="5" s="1"/>
  <c r="AI28" i="5"/>
  <c r="I28" i="5"/>
  <c r="H28" i="4"/>
  <c r="Q28" i="4"/>
  <c r="R28" i="4" s="1"/>
  <c r="AB28" i="4" s="1"/>
  <c r="AC28" i="4" s="1"/>
  <c r="AD28" i="4" s="1"/>
  <c r="BL30" i="3"/>
  <c r="BM30" i="3"/>
  <c r="BI30" i="3"/>
  <c r="BK30" i="3"/>
  <c r="BJ30" i="3"/>
  <c r="BC30" i="3"/>
  <c r="BD30" i="3"/>
  <c r="BB30" i="3"/>
  <c r="AZ30" i="3"/>
  <c r="BA30" i="3"/>
  <c r="AM28" i="5" l="1"/>
  <c r="AN28" i="5" s="1"/>
  <c r="AO28" i="5" s="1"/>
  <c r="L29" i="5" s="1"/>
  <c r="H28" i="6"/>
  <c r="Q28" i="6"/>
  <c r="R28" i="6" s="1"/>
  <c r="AB28" i="6" s="1"/>
  <c r="AC28" i="6" s="1"/>
  <c r="AD28" i="6" s="1"/>
  <c r="K28" i="5"/>
  <c r="M28" i="5"/>
  <c r="AK28" i="4"/>
  <c r="AL28" i="4" s="1"/>
  <c r="AI28" i="4"/>
  <c r="I28" i="4"/>
  <c r="BE30" i="3"/>
  <c r="BF30" i="3" s="1"/>
  <c r="BN30" i="3"/>
  <c r="BO30" i="3" s="1"/>
  <c r="AM28" i="4" l="1"/>
  <c r="AN28" i="4" s="1"/>
  <c r="AO28" i="4" s="1"/>
  <c r="L29" i="4" s="1"/>
  <c r="AK28" i="6"/>
  <c r="AL28" i="6" s="1"/>
  <c r="AI28" i="6"/>
  <c r="I28" i="6"/>
  <c r="N28" i="5"/>
  <c r="O28" i="5" s="1"/>
  <c r="F29" i="5" s="1"/>
  <c r="K28" i="4"/>
  <c r="M28" i="4"/>
  <c r="BP30" i="3"/>
  <c r="BQ30" i="3" s="1"/>
  <c r="N28" i="4" l="1"/>
  <c r="K28" i="6"/>
  <c r="M28" i="6"/>
  <c r="AM28" i="6"/>
  <c r="AN28" i="6" s="1"/>
  <c r="AO28" i="6" s="1"/>
  <c r="L29" i="6" s="1"/>
  <c r="AS29" i="5"/>
  <c r="AW29" i="5" s="1"/>
  <c r="G29" i="5"/>
  <c r="H30" i="3"/>
  <c r="I30" i="3" s="1"/>
  <c r="M30" i="3" s="1"/>
  <c r="Q30" i="3"/>
  <c r="R30" i="3" s="1"/>
  <c r="AB30" i="3" s="1"/>
  <c r="AC30" i="3" s="1"/>
  <c r="AD30" i="3" s="1"/>
  <c r="O28" i="4" l="1"/>
  <c r="F29" i="4" s="1"/>
  <c r="N28" i="6"/>
  <c r="O28" i="6" s="1"/>
  <c r="F29" i="6" s="1"/>
  <c r="AY29" i="5"/>
  <c r="BH29" i="5"/>
  <c r="AI30" i="3"/>
  <c r="AK30" i="3"/>
  <c r="AL30" i="3" s="1"/>
  <c r="K30" i="3"/>
  <c r="G29" i="4" l="1"/>
  <c r="AS29" i="4"/>
  <c r="AW29" i="4" s="1"/>
  <c r="AS29" i="6"/>
  <c r="AW29" i="6" s="1"/>
  <c r="G29" i="6"/>
  <c r="BM29" i="5"/>
  <c r="BL29" i="5"/>
  <c r="BK29" i="5"/>
  <c r="BI29" i="5"/>
  <c r="BJ29" i="5"/>
  <c r="BD29" i="5"/>
  <c r="BC29" i="5"/>
  <c r="BA29" i="5"/>
  <c r="AZ29" i="5"/>
  <c r="BB29" i="5"/>
  <c r="AM30" i="3"/>
  <c r="AN30" i="3" s="1"/>
  <c r="AO30" i="3" s="1"/>
  <c r="L31" i="3" s="1"/>
  <c r="N30" i="3"/>
  <c r="O30" i="3" s="1"/>
  <c r="F31" i="3" s="1"/>
  <c r="AY29" i="4" l="1"/>
  <c r="BH29" i="4"/>
  <c r="BH29" i="6"/>
  <c r="AY29" i="6"/>
  <c r="BN29" i="5"/>
  <c r="BO29" i="5" s="1"/>
  <c r="BE29" i="5"/>
  <c r="BF29" i="5" s="1"/>
  <c r="AS31" i="3"/>
  <c r="AW31" i="3" s="1"/>
  <c r="G31" i="3"/>
  <c r="BM29" i="4" l="1"/>
  <c r="BL29" i="4"/>
  <c r="BI29" i="4"/>
  <c r="BK29" i="4"/>
  <c r="BJ29" i="4"/>
  <c r="BA29" i="4"/>
  <c r="AZ29" i="4"/>
  <c r="BE29" i="4" s="1"/>
  <c r="BF29" i="4" s="1"/>
  <c r="BB29" i="4"/>
  <c r="BC29" i="4"/>
  <c r="BD29" i="4"/>
  <c r="BD29" i="6"/>
  <c r="BC29" i="6"/>
  <c r="BB29" i="6"/>
  <c r="BA29" i="6"/>
  <c r="AZ29" i="6"/>
  <c r="BE29" i="6" s="1"/>
  <c r="BF29" i="6" s="1"/>
  <c r="BM29" i="6"/>
  <c r="BL29" i="6"/>
  <c r="BJ29" i="6"/>
  <c r="BI29" i="6"/>
  <c r="BK29" i="6"/>
  <c r="BP29" i="5"/>
  <c r="BQ29" i="5" s="1"/>
  <c r="AY31" i="3"/>
  <c r="BH31" i="3"/>
  <c r="BN29" i="4" l="1"/>
  <c r="BO29" i="4" s="1"/>
  <c r="BP29" i="4" s="1"/>
  <c r="BQ29" i="4" s="1"/>
  <c r="BN29" i="6"/>
  <c r="BO29" i="6" s="1"/>
  <c r="BP29" i="6" s="1"/>
  <c r="BQ29" i="6" s="1"/>
  <c r="H29" i="5"/>
  <c r="Q29" i="5"/>
  <c r="R29" i="5" s="1"/>
  <c r="AB29" i="5" s="1"/>
  <c r="AC29" i="5" s="1"/>
  <c r="AD29" i="5" s="1"/>
  <c r="BL31" i="3"/>
  <c r="BM31" i="3"/>
  <c r="BK31" i="3"/>
  <c r="BI31" i="3"/>
  <c r="BJ31" i="3"/>
  <c r="BC31" i="3"/>
  <c r="BD31" i="3"/>
  <c r="AZ31" i="3"/>
  <c r="BB31" i="3"/>
  <c r="BA31" i="3"/>
  <c r="H29" i="4" l="1"/>
  <c r="I29" i="4" s="1"/>
  <c r="Q29" i="4"/>
  <c r="R29" i="4" s="1"/>
  <c r="AB29" i="4" s="1"/>
  <c r="AC29" i="4" s="1"/>
  <c r="AD29" i="4" s="1"/>
  <c r="H29" i="6"/>
  <c r="Q29" i="6"/>
  <c r="R29" i="6" s="1"/>
  <c r="AB29" i="6" s="1"/>
  <c r="AC29" i="6" s="1"/>
  <c r="AD29" i="6" s="1"/>
  <c r="AK29" i="5"/>
  <c r="AL29" i="5" s="1"/>
  <c r="AI29" i="5"/>
  <c r="AM29" i="5" s="1"/>
  <c r="AN29" i="5" s="1"/>
  <c r="AO29" i="5" s="1"/>
  <c r="L30" i="5" s="1"/>
  <c r="I29" i="5"/>
  <c r="K29" i="4"/>
  <c r="M29" i="4"/>
  <c r="BE31" i="3"/>
  <c r="BF31" i="3" s="1"/>
  <c r="BN31" i="3"/>
  <c r="BO31" i="3" s="1"/>
  <c r="AK29" i="4" l="1"/>
  <c r="AL29" i="4" s="1"/>
  <c r="AI29" i="4"/>
  <c r="AI29" i="6"/>
  <c r="AK29" i="6"/>
  <c r="AL29" i="6" s="1"/>
  <c r="I29" i="6"/>
  <c r="K29" i="5"/>
  <c r="M29" i="5"/>
  <c r="N29" i="4"/>
  <c r="BP31" i="3"/>
  <c r="BQ31" i="3" s="1"/>
  <c r="O29" i="4" l="1"/>
  <c r="F30" i="4" s="1"/>
  <c r="AM29" i="4"/>
  <c r="AN29" i="4" s="1"/>
  <c r="AO29" i="4" s="1"/>
  <c r="L30" i="4" s="1"/>
  <c r="K29" i="6"/>
  <c r="M29" i="6"/>
  <c r="AM29" i="6"/>
  <c r="AN29" i="6" s="1"/>
  <c r="AO29" i="6" s="1"/>
  <c r="L30" i="6" s="1"/>
  <c r="N29" i="5"/>
  <c r="O29" i="5" s="1"/>
  <c r="F30" i="5" s="1"/>
  <c r="H31" i="3"/>
  <c r="I31" i="3" s="1"/>
  <c r="M31" i="3" s="1"/>
  <c r="Q31" i="3"/>
  <c r="R31" i="3" s="1"/>
  <c r="AB31" i="3" s="1"/>
  <c r="AC31" i="3" s="1"/>
  <c r="AD31" i="3" s="1"/>
  <c r="G30" i="4" l="1"/>
  <c r="AS30" i="4"/>
  <c r="AW30" i="4" s="1"/>
  <c r="N29" i="6"/>
  <c r="O29" i="6" s="1"/>
  <c r="F30" i="6" s="1"/>
  <c r="AS30" i="5"/>
  <c r="AW30" i="5" s="1"/>
  <c r="G30" i="5"/>
  <c r="BH30" i="4"/>
  <c r="AY30" i="4"/>
  <c r="K31" i="3"/>
  <c r="N31" i="3" s="1"/>
  <c r="O31" i="3" s="1"/>
  <c r="F32" i="3" s="1"/>
  <c r="AI31" i="3"/>
  <c r="AK31" i="3"/>
  <c r="AL31" i="3" s="1"/>
  <c r="AS30" i="6" l="1"/>
  <c r="AW30" i="6" s="1"/>
  <c r="G30" i="6"/>
  <c r="BH30" i="5"/>
  <c r="AY30" i="5"/>
  <c r="BD30" i="4"/>
  <c r="BC30" i="4"/>
  <c r="AZ30" i="4"/>
  <c r="BB30" i="4"/>
  <c r="BA30" i="4"/>
  <c r="BM30" i="4"/>
  <c r="BL30" i="4"/>
  <c r="BJ30" i="4"/>
  <c r="BI30" i="4"/>
  <c r="BK30" i="4"/>
  <c r="AM31" i="3"/>
  <c r="AN31" i="3" s="1"/>
  <c r="AO31" i="3" s="1"/>
  <c r="L32" i="3" s="1"/>
  <c r="AS32" i="3"/>
  <c r="AW32" i="3" s="1"/>
  <c r="G32" i="3"/>
  <c r="BH30" i="6" l="1"/>
  <c r="AY30" i="6"/>
  <c r="BD30" i="5"/>
  <c r="BC30" i="5"/>
  <c r="BB30" i="5"/>
  <c r="BA30" i="5"/>
  <c r="AZ30" i="5"/>
  <c r="BM30" i="5"/>
  <c r="BL30" i="5"/>
  <c r="BI30" i="5"/>
  <c r="BJ30" i="5"/>
  <c r="BK30" i="5"/>
  <c r="BE30" i="4"/>
  <c r="BF30" i="4" s="1"/>
  <c r="BN30" i="4"/>
  <c r="BO30" i="4" s="1"/>
  <c r="BP30" i="4" s="1"/>
  <c r="AY32" i="3"/>
  <c r="BH32" i="3"/>
  <c r="BE30" i="5" l="1"/>
  <c r="BF30" i="5" s="1"/>
  <c r="BN30" i="5"/>
  <c r="BO30" i="5" s="1"/>
  <c r="BP30" i="5" s="1"/>
  <c r="BQ30" i="5" s="1"/>
  <c r="BD30" i="6"/>
  <c r="BC30" i="6"/>
  <c r="AZ30" i="6"/>
  <c r="BB30" i="6"/>
  <c r="BA30" i="6"/>
  <c r="BM30" i="6"/>
  <c r="BL30" i="6"/>
  <c r="BK30" i="6"/>
  <c r="BI30" i="6"/>
  <c r="BJ30" i="6"/>
  <c r="BQ30" i="4"/>
  <c r="BL32" i="3"/>
  <c r="BM32" i="3"/>
  <c r="BI32" i="3"/>
  <c r="BK32" i="3"/>
  <c r="BJ32" i="3"/>
  <c r="BC32" i="3"/>
  <c r="BD32" i="3"/>
  <c r="AZ32" i="3"/>
  <c r="BB32" i="3"/>
  <c r="BA32" i="3"/>
  <c r="BE30" i="6" l="1"/>
  <c r="BF30" i="6" s="1"/>
  <c r="BN30" i="6"/>
  <c r="BO30" i="6" s="1"/>
  <c r="BP30" i="6" s="1"/>
  <c r="BQ30" i="6" s="1"/>
  <c r="H30" i="5"/>
  <c r="Q30" i="5"/>
  <c r="R30" i="5" s="1"/>
  <c r="AB30" i="5" s="1"/>
  <c r="AC30" i="5" s="1"/>
  <c r="AD30" i="5" s="1"/>
  <c r="H30" i="4"/>
  <c r="Q30" i="4"/>
  <c r="R30" i="4" s="1"/>
  <c r="AB30" i="4" s="1"/>
  <c r="AC30" i="4" s="1"/>
  <c r="AD30" i="4" s="1"/>
  <c r="BN32" i="3"/>
  <c r="BO32" i="3" s="1"/>
  <c r="BE32" i="3"/>
  <c r="BF32" i="3" s="1"/>
  <c r="H30" i="6" l="1"/>
  <c r="Q30" i="6"/>
  <c r="R30" i="6" s="1"/>
  <c r="AB30" i="6" s="1"/>
  <c r="AC30" i="6" s="1"/>
  <c r="AD30" i="6" s="1"/>
  <c r="AK30" i="5"/>
  <c r="AL30" i="5" s="1"/>
  <c r="AI30" i="5"/>
  <c r="AM30" i="5" s="1"/>
  <c r="AN30" i="5" s="1"/>
  <c r="AO30" i="5" s="1"/>
  <c r="L31" i="5" s="1"/>
  <c r="I30" i="5"/>
  <c r="AK30" i="4"/>
  <c r="AL30" i="4" s="1"/>
  <c r="AI30" i="4"/>
  <c r="I30" i="4"/>
  <c r="BP32" i="3"/>
  <c r="BQ32" i="3" s="1"/>
  <c r="AM30" i="4" l="1"/>
  <c r="AN30" i="4" s="1"/>
  <c r="AO30" i="4" s="1"/>
  <c r="L31" i="4" s="1"/>
  <c r="AK30" i="6"/>
  <c r="AL30" i="6" s="1"/>
  <c r="AI30" i="6"/>
  <c r="I30" i="6"/>
  <c r="K30" i="5"/>
  <c r="M30" i="5"/>
  <c r="K30" i="4"/>
  <c r="M30" i="4"/>
  <c r="H32" i="3"/>
  <c r="I32" i="3" s="1"/>
  <c r="M32" i="3" s="1"/>
  <c r="Q32" i="3"/>
  <c r="R32" i="3" s="1"/>
  <c r="AB32" i="3" s="1"/>
  <c r="AC32" i="3" s="1"/>
  <c r="AD32" i="3" s="1"/>
  <c r="AM30" i="6" l="1"/>
  <c r="AN30" i="6" s="1"/>
  <c r="AO30" i="6" s="1"/>
  <c r="L31" i="6" s="1"/>
  <c r="K30" i="6"/>
  <c r="M30" i="6"/>
  <c r="N30" i="5"/>
  <c r="O30" i="5" s="1"/>
  <c r="F31" i="5" s="1"/>
  <c r="N30" i="4"/>
  <c r="AK32" i="3"/>
  <c r="AL32" i="3" s="1"/>
  <c r="AI32" i="3"/>
  <c r="K32" i="3"/>
  <c r="O30" i="4" l="1"/>
  <c r="F31" i="4" s="1"/>
  <c r="N30" i="6"/>
  <c r="O30" i="6" s="1"/>
  <c r="F31" i="6" s="1"/>
  <c r="AS31" i="6" s="1"/>
  <c r="AW31" i="6" s="1"/>
  <c r="AS31" i="5"/>
  <c r="AW31" i="5" s="1"/>
  <c r="G31" i="5"/>
  <c r="AM32" i="3"/>
  <c r="AN32" i="3" s="1"/>
  <c r="AO32" i="3" s="1"/>
  <c r="L33" i="3" s="1"/>
  <c r="N32" i="3"/>
  <c r="O32" i="3" s="1"/>
  <c r="F33" i="3" s="1"/>
  <c r="AS31" i="4" l="1"/>
  <c r="AW31" i="4" s="1"/>
  <c r="G31" i="4"/>
  <c r="G31" i="6"/>
  <c r="BH31" i="6"/>
  <c r="AY31" i="6"/>
  <c r="AY31" i="5"/>
  <c r="BH31" i="5"/>
  <c r="AY31" i="4"/>
  <c r="BH31" i="4"/>
  <c r="AS33" i="3"/>
  <c r="AW33" i="3" s="1"/>
  <c r="G33" i="3"/>
  <c r="BD31" i="6" l="1"/>
  <c r="BC31" i="6"/>
  <c r="BA31" i="6"/>
  <c r="BB31" i="6"/>
  <c r="AZ31" i="6"/>
  <c r="BM31" i="6"/>
  <c r="BL31" i="6"/>
  <c r="BI31" i="6"/>
  <c r="BJ31" i="6"/>
  <c r="BK31" i="6"/>
  <c r="BM31" i="5"/>
  <c r="BL31" i="5"/>
  <c r="BJ31" i="5"/>
  <c r="BI31" i="5"/>
  <c r="BK31" i="5"/>
  <c r="BD31" i="5"/>
  <c r="BC31" i="5"/>
  <c r="BA31" i="5"/>
  <c r="AZ31" i="5"/>
  <c r="BB31" i="5"/>
  <c r="BM31" i="4"/>
  <c r="BL31" i="4"/>
  <c r="BJ31" i="4"/>
  <c r="BK31" i="4"/>
  <c r="BI31" i="4"/>
  <c r="BD31" i="4"/>
  <c r="BC31" i="4"/>
  <c r="AZ31" i="4"/>
  <c r="BB31" i="4"/>
  <c r="BA31" i="4"/>
  <c r="AY33" i="3"/>
  <c r="BH33" i="3"/>
  <c r="BN31" i="4" l="1"/>
  <c r="BO31" i="4" s="1"/>
  <c r="BN31" i="6"/>
  <c r="BO31" i="6" s="1"/>
  <c r="BE31" i="6"/>
  <c r="BF31" i="6" s="1"/>
  <c r="BE31" i="4"/>
  <c r="BF31" i="4" s="1"/>
  <c r="BP31" i="4" s="1"/>
  <c r="BQ31" i="4" s="1"/>
  <c r="BN31" i="5"/>
  <c r="BO31" i="5" s="1"/>
  <c r="BE31" i="5"/>
  <c r="BF31" i="5" s="1"/>
  <c r="BL33" i="3"/>
  <c r="BM33" i="3"/>
  <c r="BK33" i="3"/>
  <c r="BJ33" i="3"/>
  <c r="BI33" i="3"/>
  <c r="BC33" i="3"/>
  <c r="BD33" i="3"/>
  <c r="BA33" i="3"/>
  <c r="AZ33" i="3"/>
  <c r="BB33" i="3"/>
  <c r="BP31" i="6" l="1"/>
  <c r="BQ31" i="6" s="1"/>
  <c r="H31" i="6" s="1"/>
  <c r="Q31" i="6"/>
  <c r="R31" i="6" s="1"/>
  <c r="AB31" i="6" s="1"/>
  <c r="AC31" i="6" s="1"/>
  <c r="AD31" i="6" s="1"/>
  <c r="BP31" i="5"/>
  <c r="BQ31" i="5" s="1"/>
  <c r="H31" i="4"/>
  <c r="Q31" i="4"/>
  <c r="R31" i="4" s="1"/>
  <c r="AB31" i="4" s="1"/>
  <c r="AC31" i="4" s="1"/>
  <c r="AD31" i="4" s="1"/>
  <c r="BN33" i="3"/>
  <c r="BO33" i="3" s="1"/>
  <c r="BE33" i="3"/>
  <c r="BF33" i="3" s="1"/>
  <c r="AK31" i="6" l="1"/>
  <c r="AL31" i="6" s="1"/>
  <c r="AI31" i="6"/>
  <c r="I31" i="6"/>
  <c r="H31" i="5"/>
  <c r="Q31" i="5"/>
  <c r="R31" i="5" s="1"/>
  <c r="AB31" i="5" s="1"/>
  <c r="AC31" i="5" s="1"/>
  <c r="AD31" i="5" s="1"/>
  <c r="AI31" i="4"/>
  <c r="AK31" i="4"/>
  <c r="AL31" i="4" s="1"/>
  <c r="I31" i="4"/>
  <c r="BP33" i="3"/>
  <c r="BQ33" i="3" s="1"/>
  <c r="AM31" i="6" l="1"/>
  <c r="AN31" i="6" s="1"/>
  <c r="AO31" i="6" s="1"/>
  <c r="L32" i="6" s="1"/>
  <c r="K31" i="6"/>
  <c r="M31" i="6"/>
  <c r="AK31" i="5"/>
  <c r="AL31" i="5" s="1"/>
  <c r="AI31" i="5"/>
  <c r="I31" i="5"/>
  <c r="K31" i="4"/>
  <c r="M31" i="4"/>
  <c r="AM31" i="4"/>
  <c r="AN31" i="4" s="1"/>
  <c r="AO31" i="4" s="1"/>
  <c r="L32" i="4" s="1"/>
  <c r="H33" i="3"/>
  <c r="I33" i="3" s="1"/>
  <c r="M33" i="3" s="1"/>
  <c r="Q33" i="3"/>
  <c r="R33" i="3" s="1"/>
  <c r="AB33" i="3" s="1"/>
  <c r="AC33" i="3" s="1"/>
  <c r="AD33" i="3" s="1"/>
  <c r="AM31" i="5" l="1"/>
  <c r="AN31" i="5" s="1"/>
  <c r="AO31" i="5" s="1"/>
  <c r="L32" i="5" s="1"/>
  <c r="N31" i="6"/>
  <c r="O31" i="6" s="1"/>
  <c r="F32" i="6" s="1"/>
  <c r="K31" i="5"/>
  <c r="M31" i="5"/>
  <c r="N31" i="4"/>
  <c r="AK33" i="3"/>
  <c r="AL33" i="3" s="1"/>
  <c r="AI33" i="3"/>
  <c r="K33" i="3"/>
  <c r="O31" i="4" l="1"/>
  <c r="F32" i="4" s="1"/>
  <c r="AS32" i="6"/>
  <c r="AW32" i="6" s="1"/>
  <c r="G32" i="6"/>
  <c r="N31" i="5"/>
  <c r="O31" i="5" s="1"/>
  <c r="F32" i="5" s="1"/>
  <c r="AM33" i="3"/>
  <c r="AN33" i="3" s="1"/>
  <c r="AO33" i="3" s="1"/>
  <c r="L34" i="3" s="1"/>
  <c r="N33" i="3"/>
  <c r="O33" i="3" s="1"/>
  <c r="F34" i="3" s="1"/>
  <c r="AS32" i="4" l="1"/>
  <c r="AW32" i="4" s="1"/>
  <c r="G32" i="4"/>
  <c r="BH32" i="6"/>
  <c r="AY32" i="6"/>
  <c r="AS32" i="5"/>
  <c r="AW32" i="5" s="1"/>
  <c r="G32" i="5"/>
  <c r="BH32" i="4"/>
  <c r="AY32" i="4"/>
  <c r="AS34" i="3"/>
  <c r="AW34" i="3" s="1"/>
  <c r="G34" i="3"/>
  <c r="BD32" i="6" l="1"/>
  <c r="BC32" i="6"/>
  <c r="BB32" i="6"/>
  <c r="BA32" i="6"/>
  <c r="AZ32" i="6"/>
  <c r="BM32" i="6"/>
  <c r="BL32" i="6"/>
  <c r="BK32" i="6"/>
  <c r="BI32" i="6"/>
  <c r="BJ32" i="6"/>
  <c r="BH32" i="5"/>
  <c r="AY32" i="5"/>
  <c r="BD32" i="4"/>
  <c r="BC32" i="4"/>
  <c r="BA32" i="4"/>
  <c r="AZ32" i="4"/>
  <c r="BB32" i="4"/>
  <c r="BM32" i="4"/>
  <c r="BL32" i="4"/>
  <c r="BJ32" i="4"/>
  <c r="BI32" i="4"/>
  <c r="BK32" i="4"/>
  <c r="AY34" i="3"/>
  <c r="BH34" i="3"/>
  <c r="BE32" i="6" l="1"/>
  <c r="BF32" i="6" s="1"/>
  <c r="BN32" i="6"/>
  <c r="BO32" i="6" s="1"/>
  <c r="BD32" i="5"/>
  <c r="BC32" i="5"/>
  <c r="BA32" i="5"/>
  <c r="AZ32" i="5"/>
  <c r="BB32" i="5"/>
  <c r="BM32" i="5"/>
  <c r="BL32" i="5"/>
  <c r="BJ32" i="5"/>
  <c r="BI32" i="5"/>
  <c r="BK32" i="5"/>
  <c r="BE32" i="4"/>
  <c r="BF32" i="4" s="1"/>
  <c r="BN32" i="4"/>
  <c r="BO32" i="4" s="1"/>
  <c r="BL34" i="3"/>
  <c r="BM34" i="3"/>
  <c r="BI34" i="3"/>
  <c r="BJ34" i="3"/>
  <c r="BK34" i="3"/>
  <c r="BC34" i="3"/>
  <c r="BD34" i="3"/>
  <c r="BB34" i="3"/>
  <c r="AZ34" i="3"/>
  <c r="BA34" i="3"/>
  <c r="BP32" i="6" l="1"/>
  <c r="BQ32" i="6" s="1"/>
  <c r="H32" i="6" s="1"/>
  <c r="BP32" i="4"/>
  <c r="BQ32" i="4" s="1"/>
  <c r="BE32" i="5"/>
  <c r="BF32" i="5" s="1"/>
  <c r="BN32" i="5"/>
  <c r="BO32" i="5" s="1"/>
  <c r="BE34" i="3"/>
  <c r="BF34" i="3" s="1"/>
  <c r="BN34" i="3"/>
  <c r="BO34" i="3" s="1"/>
  <c r="Q32" i="6" l="1"/>
  <c r="R32" i="6" s="1"/>
  <c r="AB32" i="6" s="1"/>
  <c r="AC32" i="6" s="1"/>
  <c r="AD32" i="6" s="1"/>
  <c r="AK32" i="6" s="1"/>
  <c r="AL32" i="6" s="1"/>
  <c r="I32" i="6"/>
  <c r="BP32" i="5"/>
  <c r="BQ32" i="5" s="1"/>
  <c r="H32" i="4"/>
  <c r="Q32" i="4"/>
  <c r="R32" i="4" s="1"/>
  <c r="AB32" i="4" s="1"/>
  <c r="AC32" i="4" s="1"/>
  <c r="AD32" i="4" s="1"/>
  <c r="BP34" i="3"/>
  <c r="BQ34" i="3" s="1"/>
  <c r="AI32" i="6" l="1"/>
  <c r="AM32" i="6"/>
  <c r="AN32" i="6" s="1"/>
  <c r="AO32" i="6" s="1"/>
  <c r="L33" i="6" s="1"/>
  <c r="K32" i="6"/>
  <c r="M32" i="6"/>
  <c r="H32" i="5"/>
  <c r="Q32" i="5"/>
  <c r="R32" i="5" s="1"/>
  <c r="AB32" i="5" s="1"/>
  <c r="AC32" i="5" s="1"/>
  <c r="AD32" i="5" s="1"/>
  <c r="AK32" i="4"/>
  <c r="AL32" i="4" s="1"/>
  <c r="AI32" i="4"/>
  <c r="I32" i="4"/>
  <c r="H34" i="3"/>
  <c r="I34" i="3" s="1"/>
  <c r="M34" i="3" s="1"/>
  <c r="Q34" i="3"/>
  <c r="R34" i="3" s="1"/>
  <c r="AB34" i="3" s="1"/>
  <c r="AC34" i="3" s="1"/>
  <c r="AD34" i="3" s="1"/>
  <c r="AM32" i="4" l="1"/>
  <c r="AN32" i="4" s="1"/>
  <c r="AO32" i="4" s="1"/>
  <c r="L33" i="4" s="1"/>
  <c r="N32" i="6"/>
  <c r="O32" i="6" s="1"/>
  <c r="F33" i="6" s="1"/>
  <c r="AK32" i="5"/>
  <c r="AL32" i="5" s="1"/>
  <c r="AI32" i="5"/>
  <c r="I32" i="5"/>
  <c r="K32" i="4"/>
  <c r="M32" i="4"/>
  <c r="AI34" i="3"/>
  <c r="AK34" i="3"/>
  <c r="AL34" i="3" s="1"/>
  <c r="K34" i="3"/>
  <c r="AM32" i="5" l="1"/>
  <c r="AN32" i="5" s="1"/>
  <c r="AO32" i="5" s="1"/>
  <c r="L33" i="5" s="1"/>
  <c r="AS33" i="6"/>
  <c r="AW33" i="6" s="1"/>
  <c r="G33" i="6"/>
  <c r="K32" i="5"/>
  <c r="M32" i="5"/>
  <c r="N32" i="4"/>
  <c r="AM34" i="3"/>
  <c r="AN34" i="3" s="1"/>
  <c r="AO34" i="3" s="1"/>
  <c r="L35" i="3" s="1"/>
  <c r="N34" i="3"/>
  <c r="O34" i="3" s="1"/>
  <c r="F35" i="3" s="1"/>
  <c r="O32" i="4" l="1"/>
  <c r="F33" i="4" s="1"/>
  <c r="AY33" i="6"/>
  <c r="BH33" i="6"/>
  <c r="N32" i="5"/>
  <c r="O32" i="5" s="1"/>
  <c r="F33" i="5" s="1"/>
  <c r="AS35" i="3"/>
  <c r="AW35" i="3" s="1"/>
  <c r="G35" i="3"/>
  <c r="AS33" i="4" l="1"/>
  <c r="AW33" i="4" s="1"/>
  <c r="G33" i="4"/>
  <c r="BM33" i="6"/>
  <c r="BL33" i="6"/>
  <c r="BK33" i="6"/>
  <c r="BJ33" i="6"/>
  <c r="BI33" i="6"/>
  <c r="BD33" i="6"/>
  <c r="BC33" i="6"/>
  <c r="BB33" i="6"/>
  <c r="AZ33" i="6"/>
  <c r="BA33" i="6"/>
  <c r="AS33" i="5"/>
  <c r="AW33" i="5" s="1"/>
  <c r="G33" i="5"/>
  <c r="AY33" i="4"/>
  <c r="BH33" i="4"/>
  <c r="AY35" i="3"/>
  <c r="BH35" i="3"/>
  <c r="BN33" i="6" l="1"/>
  <c r="BO33" i="6" s="1"/>
  <c r="BE33" i="6"/>
  <c r="BF33" i="6" s="1"/>
  <c r="AY33" i="5"/>
  <c r="BH33" i="5"/>
  <c r="BM33" i="4"/>
  <c r="BL33" i="4"/>
  <c r="BK33" i="4"/>
  <c r="BJ33" i="4"/>
  <c r="BI33" i="4"/>
  <c r="BD33" i="4"/>
  <c r="BC33" i="4"/>
  <c r="BA33" i="4"/>
  <c r="AZ33" i="4"/>
  <c r="BB33" i="4"/>
  <c r="BL35" i="3"/>
  <c r="BM35" i="3"/>
  <c r="BK35" i="3"/>
  <c r="BI35" i="3"/>
  <c r="BJ35" i="3"/>
  <c r="BC35" i="3"/>
  <c r="BD35" i="3"/>
  <c r="AZ35" i="3"/>
  <c r="BA35" i="3"/>
  <c r="BB35" i="3"/>
  <c r="BN33" i="4" l="1"/>
  <c r="BO33" i="4" s="1"/>
  <c r="BP33" i="6"/>
  <c r="BQ33" i="6" s="1"/>
  <c r="BM33" i="5"/>
  <c r="BL33" i="5"/>
  <c r="BK33" i="5"/>
  <c r="BI33" i="5"/>
  <c r="BJ33" i="5"/>
  <c r="BD33" i="5"/>
  <c r="BC33" i="5"/>
  <c r="AZ33" i="5"/>
  <c r="BB33" i="5"/>
  <c r="BA33" i="5"/>
  <c r="BE33" i="4"/>
  <c r="BF33" i="4" s="1"/>
  <c r="BN35" i="3"/>
  <c r="BO35" i="3" s="1"/>
  <c r="BE35" i="3"/>
  <c r="BF35" i="3" s="1"/>
  <c r="BE33" i="5" l="1"/>
  <c r="BF33" i="5" s="1"/>
  <c r="H33" i="6"/>
  <c r="Q33" i="6"/>
  <c r="R33" i="6" s="1"/>
  <c r="AB33" i="6" s="1"/>
  <c r="AC33" i="6" s="1"/>
  <c r="AD33" i="6" s="1"/>
  <c r="BN33" i="5"/>
  <c r="BO33" i="5" s="1"/>
  <c r="BP33" i="5" s="1"/>
  <c r="BQ33" i="5" s="1"/>
  <c r="BP33" i="4"/>
  <c r="BQ33" i="4" s="1"/>
  <c r="BP35" i="3"/>
  <c r="BQ35" i="3" s="1"/>
  <c r="AK33" i="6" l="1"/>
  <c r="AL33" i="6" s="1"/>
  <c r="AI33" i="6"/>
  <c r="I33" i="6"/>
  <c r="H33" i="5"/>
  <c r="Q33" i="5"/>
  <c r="R33" i="5" s="1"/>
  <c r="AB33" i="5" s="1"/>
  <c r="AC33" i="5" s="1"/>
  <c r="AD33" i="5" s="1"/>
  <c r="H33" i="4"/>
  <c r="Q33" i="4"/>
  <c r="R33" i="4" s="1"/>
  <c r="AB33" i="4" s="1"/>
  <c r="AC33" i="4" s="1"/>
  <c r="AD33" i="4" s="1"/>
  <c r="H35" i="3"/>
  <c r="I35" i="3" s="1"/>
  <c r="M35" i="3" s="1"/>
  <c r="Q35" i="3"/>
  <c r="R35" i="3" s="1"/>
  <c r="AB35" i="3" s="1"/>
  <c r="AC35" i="3" s="1"/>
  <c r="AD35" i="3" s="1"/>
  <c r="AM33" i="6" l="1"/>
  <c r="AN33" i="6" s="1"/>
  <c r="AO33" i="6" s="1"/>
  <c r="L34" i="6" s="1"/>
  <c r="K33" i="6"/>
  <c r="M33" i="6"/>
  <c r="AK33" i="5"/>
  <c r="AL33" i="5" s="1"/>
  <c r="AI33" i="5"/>
  <c r="AM33" i="5" s="1"/>
  <c r="AN33" i="5" s="1"/>
  <c r="AO33" i="5" s="1"/>
  <c r="L34" i="5" s="1"/>
  <c r="I33" i="5"/>
  <c r="AK33" i="4"/>
  <c r="AL33" i="4" s="1"/>
  <c r="AI33" i="4"/>
  <c r="I33" i="4"/>
  <c r="AI35" i="3"/>
  <c r="AK35" i="3"/>
  <c r="AL35" i="3" s="1"/>
  <c r="K35" i="3"/>
  <c r="N33" i="6" l="1"/>
  <c r="O33" i="6" s="1"/>
  <c r="F34" i="6" s="1"/>
  <c r="AS34" i="6" s="1"/>
  <c r="AW34" i="6" s="1"/>
  <c r="AM33" i="4"/>
  <c r="AN33" i="4" s="1"/>
  <c r="AO33" i="4" s="1"/>
  <c r="L34" i="4" s="1"/>
  <c r="K33" i="5"/>
  <c r="M33" i="5"/>
  <c r="K33" i="4"/>
  <c r="M33" i="4"/>
  <c r="AM35" i="3"/>
  <c r="AN35" i="3" s="1"/>
  <c r="AO35" i="3" s="1"/>
  <c r="L36" i="3" s="1"/>
  <c r="N35" i="3"/>
  <c r="O35" i="3" s="1"/>
  <c r="F36" i="3" s="1"/>
  <c r="G34" i="6" l="1"/>
  <c r="BH34" i="6"/>
  <c r="AY34" i="6"/>
  <c r="N33" i="5"/>
  <c r="O33" i="5" s="1"/>
  <c r="F34" i="5" s="1"/>
  <c r="N33" i="4"/>
  <c r="AS36" i="3"/>
  <c r="AW36" i="3" s="1"/>
  <c r="G36" i="3"/>
  <c r="O33" i="4" l="1"/>
  <c r="F34" i="4" s="1"/>
  <c r="BD34" i="6"/>
  <c r="BC34" i="6"/>
  <c r="BA34" i="6"/>
  <c r="AZ34" i="6"/>
  <c r="BB34" i="6"/>
  <c r="BM34" i="6"/>
  <c r="BL34" i="6"/>
  <c r="BJ34" i="6"/>
  <c r="BK34" i="6"/>
  <c r="BI34" i="6"/>
  <c r="AS34" i="5"/>
  <c r="AW34" i="5" s="1"/>
  <c r="G34" i="5"/>
  <c r="AY36" i="3"/>
  <c r="BH36" i="3"/>
  <c r="AS34" i="4" l="1"/>
  <c r="AW34" i="4" s="1"/>
  <c r="G34" i="4"/>
  <c r="BE34" i="6"/>
  <c r="BF34" i="6" s="1"/>
  <c r="BN34" i="6"/>
  <c r="BO34" i="6" s="1"/>
  <c r="BH34" i="5"/>
  <c r="AY34" i="5"/>
  <c r="BH34" i="4"/>
  <c r="AY34" i="4"/>
  <c r="BL36" i="3"/>
  <c r="BM36" i="3"/>
  <c r="BI36" i="3"/>
  <c r="BJ36" i="3"/>
  <c r="BK36" i="3"/>
  <c r="BC36" i="3"/>
  <c r="BD36" i="3"/>
  <c r="AZ36" i="3"/>
  <c r="BB36" i="3"/>
  <c r="BA36" i="3"/>
  <c r="BP34" i="6" l="1"/>
  <c r="BQ34" i="6" s="1"/>
  <c r="H34" i="6" s="1"/>
  <c r="Q34" i="6"/>
  <c r="R34" i="6" s="1"/>
  <c r="AB34" i="6" s="1"/>
  <c r="AC34" i="6" s="1"/>
  <c r="AD34" i="6" s="1"/>
  <c r="BD34" i="5"/>
  <c r="BC34" i="5"/>
  <c r="BA34" i="5"/>
  <c r="BB34" i="5"/>
  <c r="AZ34" i="5"/>
  <c r="BM34" i="5"/>
  <c r="BL34" i="5"/>
  <c r="BJ34" i="5"/>
  <c r="BI34" i="5"/>
  <c r="BK34" i="5"/>
  <c r="BD34" i="4"/>
  <c r="BC34" i="4"/>
  <c r="BA34" i="4"/>
  <c r="AZ34" i="4"/>
  <c r="BB34" i="4"/>
  <c r="BM34" i="4"/>
  <c r="BL34" i="4"/>
  <c r="BI34" i="4"/>
  <c r="BJ34" i="4"/>
  <c r="BK34" i="4"/>
  <c r="BN36" i="3"/>
  <c r="BO36" i="3" s="1"/>
  <c r="BE36" i="3"/>
  <c r="BF36" i="3" s="1"/>
  <c r="BE34" i="5" l="1"/>
  <c r="BF34" i="5" s="1"/>
  <c r="BN34" i="4"/>
  <c r="BO34" i="4" s="1"/>
  <c r="AK34" i="6"/>
  <c r="AL34" i="6" s="1"/>
  <c r="AI34" i="6"/>
  <c r="I34" i="6"/>
  <c r="BN34" i="5"/>
  <c r="BO34" i="5" s="1"/>
  <c r="BE34" i="4"/>
  <c r="BF34" i="4" s="1"/>
  <c r="BP36" i="3"/>
  <c r="BQ36" i="3" s="1"/>
  <c r="BP34" i="5" l="1"/>
  <c r="BQ34" i="5" s="1"/>
  <c r="AM34" i="6"/>
  <c r="AN34" i="6" s="1"/>
  <c r="AO34" i="6" s="1"/>
  <c r="L35" i="6" s="1"/>
  <c r="K34" i="6"/>
  <c r="M34" i="6"/>
  <c r="H34" i="5"/>
  <c r="Q34" i="5"/>
  <c r="R34" i="5" s="1"/>
  <c r="AB34" i="5" s="1"/>
  <c r="AC34" i="5" s="1"/>
  <c r="AD34" i="5" s="1"/>
  <c r="BP34" i="4"/>
  <c r="BQ34" i="4" s="1"/>
  <c r="H36" i="3"/>
  <c r="I36" i="3" s="1"/>
  <c r="M36" i="3" s="1"/>
  <c r="Q36" i="3"/>
  <c r="R36" i="3" s="1"/>
  <c r="AB36" i="3" s="1"/>
  <c r="AC36" i="3" s="1"/>
  <c r="AD36" i="3" s="1"/>
  <c r="N34" i="6" l="1"/>
  <c r="O34" i="6" s="1"/>
  <c r="F35" i="6" s="1"/>
  <c r="AK34" i="5"/>
  <c r="AL34" i="5" s="1"/>
  <c r="AI34" i="5"/>
  <c r="I34" i="5"/>
  <c r="H34" i="4"/>
  <c r="Q34" i="4"/>
  <c r="R34" i="4" s="1"/>
  <c r="AB34" i="4" s="1"/>
  <c r="AC34" i="4" s="1"/>
  <c r="AD34" i="4" s="1"/>
  <c r="AI36" i="3"/>
  <c r="AK36" i="3"/>
  <c r="AL36" i="3" s="1"/>
  <c r="K36" i="3"/>
  <c r="AM34" i="5" l="1"/>
  <c r="AN34" i="5" s="1"/>
  <c r="AO34" i="5" s="1"/>
  <c r="L35" i="5" s="1"/>
  <c r="AS35" i="6"/>
  <c r="AW35" i="6" s="1"/>
  <c r="G35" i="6"/>
  <c r="K34" i="5"/>
  <c r="M34" i="5"/>
  <c r="AK34" i="4"/>
  <c r="AL34" i="4" s="1"/>
  <c r="AI34" i="4"/>
  <c r="I34" i="4"/>
  <c r="AM36" i="3"/>
  <c r="AN36" i="3" s="1"/>
  <c r="AO36" i="3" s="1"/>
  <c r="L37" i="3" s="1"/>
  <c r="N36" i="3"/>
  <c r="O36" i="3" s="1"/>
  <c r="F37" i="3" s="1"/>
  <c r="BH35" i="6" l="1"/>
  <c r="AY35" i="6"/>
  <c r="N34" i="5"/>
  <c r="O34" i="5" s="1"/>
  <c r="F35" i="5" s="1"/>
  <c r="K34" i="4"/>
  <c r="M34" i="4"/>
  <c r="AM34" i="4"/>
  <c r="AN34" i="4" s="1"/>
  <c r="AO34" i="4" s="1"/>
  <c r="L35" i="4" s="1"/>
  <c r="AS37" i="3"/>
  <c r="AW37" i="3" s="1"/>
  <c r="G37" i="3"/>
  <c r="N34" i="4" l="1"/>
  <c r="BD35" i="6"/>
  <c r="BC35" i="6"/>
  <c r="BA35" i="6"/>
  <c r="BB35" i="6"/>
  <c r="AZ35" i="6"/>
  <c r="BE35" i="6" s="1"/>
  <c r="BF35" i="6" s="1"/>
  <c r="BM35" i="6"/>
  <c r="BL35" i="6"/>
  <c r="BI35" i="6"/>
  <c r="BJ35" i="6"/>
  <c r="BK35" i="6"/>
  <c r="AS35" i="5"/>
  <c r="AW35" i="5" s="1"/>
  <c r="G35" i="5"/>
  <c r="AY37" i="3"/>
  <c r="BH37" i="3"/>
  <c r="O34" i="4" l="1"/>
  <c r="F35" i="4" s="1"/>
  <c r="BN35" i="6"/>
  <c r="BO35" i="6" s="1"/>
  <c r="BP35" i="6" s="1"/>
  <c r="BQ35" i="6" s="1"/>
  <c r="BH35" i="5"/>
  <c r="AY35" i="5"/>
  <c r="BL37" i="3"/>
  <c r="BM37" i="3"/>
  <c r="BK37" i="3"/>
  <c r="BI37" i="3"/>
  <c r="BJ37" i="3"/>
  <c r="BC37" i="3"/>
  <c r="BD37" i="3"/>
  <c r="BA37" i="3"/>
  <c r="BB37" i="3"/>
  <c r="AZ37" i="3"/>
  <c r="G35" i="4" l="1"/>
  <c r="AS35" i="4"/>
  <c r="AW35" i="4" s="1"/>
  <c r="H35" i="6"/>
  <c r="Q35" i="6"/>
  <c r="R35" i="6" s="1"/>
  <c r="AB35" i="6" s="1"/>
  <c r="AC35" i="6" s="1"/>
  <c r="AD35" i="6" s="1"/>
  <c r="BD35" i="5"/>
  <c r="BC35" i="5"/>
  <c r="BB35" i="5"/>
  <c r="AZ35" i="5"/>
  <c r="BA35" i="5"/>
  <c r="BM35" i="5"/>
  <c r="BL35" i="5"/>
  <c r="BK35" i="5"/>
  <c r="BJ35" i="5"/>
  <c r="BI35" i="5"/>
  <c r="BN37" i="3"/>
  <c r="BO37" i="3" s="1"/>
  <c r="BE37" i="3"/>
  <c r="BF37" i="3" s="1"/>
  <c r="BH35" i="4" l="1"/>
  <c r="AY35" i="4"/>
  <c r="AK35" i="6"/>
  <c r="AL35" i="6" s="1"/>
  <c r="AI35" i="6"/>
  <c r="I35" i="6"/>
  <c r="BE35" i="5"/>
  <c r="BF35" i="5" s="1"/>
  <c r="BN35" i="5"/>
  <c r="BO35" i="5" s="1"/>
  <c r="BP35" i="5" s="1"/>
  <c r="BP37" i="3"/>
  <c r="BQ37" i="3" s="1"/>
  <c r="BD35" i="4" l="1"/>
  <c r="BB35" i="4"/>
  <c r="BC35" i="4"/>
  <c r="AZ35" i="4"/>
  <c r="BE35" i="4" s="1"/>
  <c r="BF35" i="4" s="1"/>
  <c r="BA35" i="4"/>
  <c r="BK35" i="4"/>
  <c r="BI35" i="4"/>
  <c r="BN35" i="4" s="1"/>
  <c r="BO35" i="4" s="1"/>
  <c r="BP35" i="4" s="1"/>
  <c r="BQ35" i="4" s="1"/>
  <c r="BL35" i="4"/>
  <c r="BJ35" i="4"/>
  <c r="BM35" i="4"/>
  <c r="AM35" i="6"/>
  <c r="AN35" i="6" s="1"/>
  <c r="AO35" i="6" s="1"/>
  <c r="L36" i="6" s="1"/>
  <c r="K35" i="6"/>
  <c r="M35" i="6"/>
  <c r="BQ35" i="5"/>
  <c r="H37" i="3"/>
  <c r="I37" i="3" s="1"/>
  <c r="M37" i="3" s="1"/>
  <c r="Q37" i="3"/>
  <c r="R37" i="3" s="1"/>
  <c r="AB37" i="3" s="1"/>
  <c r="AC37" i="3" s="1"/>
  <c r="AD37" i="3" s="1"/>
  <c r="N35" i="6" l="1"/>
  <c r="O35" i="6" s="1"/>
  <c r="F36" i="6" s="1"/>
  <c r="H35" i="5"/>
  <c r="Q35" i="5"/>
  <c r="R35" i="5" s="1"/>
  <c r="AB35" i="5" s="1"/>
  <c r="AC35" i="5" s="1"/>
  <c r="AD35" i="5" s="1"/>
  <c r="H35" i="4"/>
  <c r="Q35" i="4"/>
  <c r="R35" i="4" s="1"/>
  <c r="AB35" i="4" s="1"/>
  <c r="AC35" i="4" s="1"/>
  <c r="AD35" i="4" s="1"/>
  <c r="AI37" i="3"/>
  <c r="AK37" i="3"/>
  <c r="AL37" i="3" s="1"/>
  <c r="K37" i="3"/>
  <c r="AS36" i="6" l="1"/>
  <c r="AW36" i="6" s="1"/>
  <c r="G36" i="6"/>
  <c r="AK35" i="5"/>
  <c r="AL35" i="5" s="1"/>
  <c r="AI35" i="5"/>
  <c r="I35" i="5"/>
  <c r="AK35" i="4"/>
  <c r="AL35" i="4" s="1"/>
  <c r="AI35" i="4"/>
  <c r="I35" i="4"/>
  <c r="AM37" i="3"/>
  <c r="AN37" i="3" s="1"/>
  <c r="AO37" i="3" s="1"/>
  <c r="L38" i="3" s="1"/>
  <c r="N37" i="3"/>
  <c r="O37" i="3" s="1"/>
  <c r="F38" i="3" s="1"/>
  <c r="AM35" i="5" l="1"/>
  <c r="AN35" i="5" s="1"/>
  <c r="AO35" i="5" s="1"/>
  <c r="L36" i="5" s="1"/>
  <c r="BH36" i="6"/>
  <c r="AY36" i="6"/>
  <c r="K35" i="5"/>
  <c r="M35" i="5"/>
  <c r="AM35" i="4"/>
  <c r="AN35" i="4" s="1"/>
  <c r="AO35" i="4" s="1"/>
  <c r="L36" i="4" s="1"/>
  <c r="K35" i="4"/>
  <c r="M35" i="4"/>
  <c r="AS38" i="3"/>
  <c r="AW38" i="3" s="1"/>
  <c r="G38" i="3"/>
  <c r="BD36" i="6" l="1"/>
  <c r="BC36" i="6"/>
  <c r="AZ36" i="6"/>
  <c r="BA36" i="6"/>
  <c r="BB36" i="6"/>
  <c r="BM36" i="6"/>
  <c r="BL36" i="6"/>
  <c r="BI36" i="6"/>
  <c r="BK36" i="6"/>
  <c r="BJ36" i="6"/>
  <c r="N35" i="5"/>
  <c r="O35" i="5" s="1"/>
  <c r="F36" i="5" s="1"/>
  <c r="N35" i="4"/>
  <c r="AY38" i="3"/>
  <c r="BH38" i="3"/>
  <c r="O35" i="4" l="1"/>
  <c r="F36" i="4" s="1"/>
  <c r="BN36" i="6"/>
  <c r="BO36" i="6" s="1"/>
  <c r="BE36" i="6"/>
  <c r="BF36" i="6" s="1"/>
  <c r="AS36" i="5"/>
  <c r="AW36" i="5" s="1"/>
  <c r="G36" i="5"/>
  <c r="BL38" i="3"/>
  <c r="BM38" i="3"/>
  <c r="BK38" i="3"/>
  <c r="BI38" i="3"/>
  <c r="BJ38" i="3"/>
  <c r="BC38" i="3"/>
  <c r="BD38" i="3"/>
  <c r="AZ38" i="3"/>
  <c r="BA38" i="3"/>
  <c r="BB38" i="3"/>
  <c r="AS36" i="4" l="1"/>
  <c r="AW36" i="4" s="1"/>
  <c r="G36" i="4"/>
  <c r="BP36" i="6"/>
  <c r="BQ36" i="6" s="1"/>
  <c r="BH36" i="5"/>
  <c r="AY36" i="5"/>
  <c r="BH36" i="4"/>
  <c r="AY36" i="4"/>
  <c r="BN38" i="3"/>
  <c r="BO38" i="3" s="1"/>
  <c r="BE38" i="3"/>
  <c r="BF38" i="3" s="1"/>
  <c r="H36" i="6" l="1"/>
  <c r="Q36" i="6"/>
  <c r="R36" i="6" s="1"/>
  <c r="AB36" i="6" s="1"/>
  <c r="AC36" i="6" s="1"/>
  <c r="AD36" i="6" s="1"/>
  <c r="BD36" i="5"/>
  <c r="BC36" i="5"/>
  <c r="BA36" i="5"/>
  <c r="BB36" i="5"/>
  <c r="AZ36" i="5"/>
  <c r="BM36" i="5"/>
  <c r="BL36" i="5"/>
  <c r="BJ36" i="5"/>
  <c r="BK36" i="5"/>
  <c r="BI36" i="5"/>
  <c r="BD36" i="4"/>
  <c r="BC36" i="4"/>
  <c r="AZ36" i="4"/>
  <c r="BB36" i="4"/>
  <c r="BA36" i="4"/>
  <c r="BM36" i="4"/>
  <c r="BL36" i="4"/>
  <c r="BJ36" i="4"/>
  <c r="BK36" i="4"/>
  <c r="BI36" i="4"/>
  <c r="BP38" i="3"/>
  <c r="BQ38" i="3" s="1"/>
  <c r="BE36" i="4" l="1"/>
  <c r="BF36" i="4" s="1"/>
  <c r="BE36" i="5"/>
  <c r="BF36" i="5" s="1"/>
  <c r="AK36" i="6"/>
  <c r="AL36" i="6" s="1"/>
  <c r="AI36" i="6"/>
  <c r="I36" i="6"/>
  <c r="BN36" i="5"/>
  <c r="BO36" i="5" s="1"/>
  <c r="BP36" i="5" s="1"/>
  <c r="BQ36" i="5" s="1"/>
  <c r="BN36" i="4"/>
  <c r="BO36" i="4" s="1"/>
  <c r="BP36" i="4" s="1"/>
  <c r="BQ36" i="4" s="1"/>
  <c r="H38" i="3"/>
  <c r="I38" i="3" s="1"/>
  <c r="M38" i="3" s="1"/>
  <c r="Q38" i="3"/>
  <c r="R38" i="3" s="1"/>
  <c r="AB38" i="3" s="1"/>
  <c r="AC38" i="3" s="1"/>
  <c r="AD38" i="3" s="1"/>
  <c r="AM36" i="6" l="1"/>
  <c r="AN36" i="6" s="1"/>
  <c r="AO36" i="6" s="1"/>
  <c r="L37" i="6" s="1"/>
  <c r="K36" i="6"/>
  <c r="M36" i="6"/>
  <c r="H36" i="5"/>
  <c r="Q36" i="5"/>
  <c r="R36" i="5" s="1"/>
  <c r="AB36" i="5" s="1"/>
  <c r="AC36" i="5" s="1"/>
  <c r="AD36" i="5" s="1"/>
  <c r="H36" i="4"/>
  <c r="Q36" i="4"/>
  <c r="R36" i="4" s="1"/>
  <c r="AB36" i="4" s="1"/>
  <c r="AC36" i="4" s="1"/>
  <c r="AD36" i="4" s="1"/>
  <c r="AK38" i="3"/>
  <c r="AL38" i="3" s="1"/>
  <c r="AI38" i="3"/>
  <c r="K38" i="3"/>
  <c r="N36" i="6" l="1"/>
  <c r="O36" i="6" s="1"/>
  <c r="F37" i="6" s="1"/>
  <c r="AK36" i="5"/>
  <c r="AL36" i="5" s="1"/>
  <c r="AI36" i="5"/>
  <c r="AM36" i="5" s="1"/>
  <c r="AN36" i="5" s="1"/>
  <c r="AO36" i="5" s="1"/>
  <c r="L37" i="5" s="1"/>
  <c r="I36" i="5"/>
  <c r="AK36" i="4"/>
  <c r="AL36" i="4" s="1"/>
  <c r="AI36" i="4"/>
  <c r="I36" i="4"/>
  <c r="AM38" i="3"/>
  <c r="AN38" i="3" s="1"/>
  <c r="AO38" i="3" s="1"/>
  <c r="L39" i="3" s="1"/>
  <c r="N38" i="3"/>
  <c r="O38" i="3" s="1"/>
  <c r="F39" i="3" s="1"/>
  <c r="AM36" i="4" l="1"/>
  <c r="AN36" i="4" s="1"/>
  <c r="AO36" i="4" s="1"/>
  <c r="L37" i="4" s="1"/>
  <c r="AS37" i="6"/>
  <c r="AW37" i="6" s="1"/>
  <c r="G37" i="6"/>
  <c r="K36" i="5"/>
  <c r="M36" i="5"/>
  <c r="K36" i="4"/>
  <c r="M36" i="4"/>
  <c r="AS39" i="3"/>
  <c r="AW39" i="3" s="1"/>
  <c r="G39" i="3"/>
  <c r="BH37" i="6" l="1"/>
  <c r="AY37" i="6"/>
  <c r="N36" i="5"/>
  <c r="O36" i="5" s="1"/>
  <c r="F37" i="5" s="1"/>
  <c r="N36" i="4"/>
  <c r="BH39" i="3"/>
  <c r="AY39" i="3"/>
  <c r="O36" i="4" l="1"/>
  <c r="F37" i="4" s="1"/>
  <c r="BD37" i="6"/>
  <c r="BC37" i="6"/>
  <c r="BB37" i="6"/>
  <c r="BA37" i="6"/>
  <c r="AZ37" i="6"/>
  <c r="BM37" i="6"/>
  <c r="BL37" i="6"/>
  <c r="BJ37" i="6"/>
  <c r="BI37" i="6"/>
  <c r="BK37" i="6"/>
  <c r="AS37" i="5"/>
  <c r="AW37" i="5" s="1"/>
  <c r="G37" i="5"/>
  <c r="BC39" i="3"/>
  <c r="BD39" i="3"/>
  <c r="BB39" i="3"/>
  <c r="BA39" i="3"/>
  <c r="AZ39" i="3"/>
  <c r="BM39" i="3"/>
  <c r="BL39" i="3"/>
  <c r="BK39" i="3"/>
  <c r="BI39" i="3"/>
  <c r="BJ39" i="3"/>
  <c r="AS37" i="4" l="1"/>
  <c r="AW37" i="4" s="1"/>
  <c r="G37" i="4"/>
  <c r="BE37" i="6"/>
  <c r="BF37" i="6" s="1"/>
  <c r="BN37" i="6"/>
  <c r="BO37" i="6" s="1"/>
  <c r="BH37" i="5"/>
  <c r="AY37" i="5"/>
  <c r="BH37" i="4"/>
  <c r="AY37" i="4"/>
  <c r="BE39" i="3"/>
  <c r="BF39" i="3" s="1"/>
  <c r="BN39" i="3"/>
  <c r="BO39" i="3" s="1"/>
  <c r="BP37" i="6" l="1"/>
  <c r="BQ37" i="6" s="1"/>
  <c r="H37" i="6" s="1"/>
  <c r="BD37" i="5"/>
  <c r="BC37" i="5"/>
  <c r="BA37" i="5"/>
  <c r="BB37" i="5"/>
  <c r="AZ37" i="5"/>
  <c r="BM37" i="5"/>
  <c r="BL37" i="5"/>
  <c r="BI37" i="5"/>
  <c r="BK37" i="5"/>
  <c r="BJ37" i="5"/>
  <c r="BD37" i="4"/>
  <c r="BC37" i="4"/>
  <c r="BA37" i="4"/>
  <c r="AZ37" i="4"/>
  <c r="BB37" i="4"/>
  <c r="BM37" i="4"/>
  <c r="BL37" i="4"/>
  <c r="BJ37" i="4"/>
  <c r="BI37" i="4"/>
  <c r="BK37" i="4"/>
  <c r="BP39" i="3"/>
  <c r="BQ39" i="3" s="1"/>
  <c r="Q37" i="6" l="1"/>
  <c r="R37" i="6" s="1"/>
  <c r="AB37" i="6" s="1"/>
  <c r="AC37" i="6" s="1"/>
  <c r="AD37" i="6" s="1"/>
  <c r="AK37" i="6" s="1"/>
  <c r="AL37" i="6" s="1"/>
  <c r="BN37" i="5"/>
  <c r="BO37" i="5" s="1"/>
  <c r="BE37" i="5"/>
  <c r="BF37" i="5" s="1"/>
  <c r="I37" i="6"/>
  <c r="BE37" i="4"/>
  <c r="BF37" i="4" s="1"/>
  <c r="BN37" i="4"/>
  <c r="BO37" i="4" s="1"/>
  <c r="BP37" i="4" s="1"/>
  <c r="H39" i="3"/>
  <c r="I39" i="3" s="1"/>
  <c r="M39" i="3" s="1"/>
  <c r="Q39" i="3"/>
  <c r="R39" i="3" s="1"/>
  <c r="AB39" i="3" s="1"/>
  <c r="AC39" i="3" s="1"/>
  <c r="AD39" i="3" s="1"/>
  <c r="AI37" i="6" l="1"/>
  <c r="AM37" i="6"/>
  <c r="AN37" i="6" s="1"/>
  <c r="AO37" i="6" s="1"/>
  <c r="L38" i="6" s="1"/>
  <c r="BP37" i="5"/>
  <c r="BQ37" i="5" s="1"/>
  <c r="K37" i="6"/>
  <c r="M37" i="6"/>
  <c r="H37" i="5"/>
  <c r="Q37" i="5"/>
  <c r="R37" i="5" s="1"/>
  <c r="AB37" i="5" s="1"/>
  <c r="AC37" i="5" s="1"/>
  <c r="AD37" i="5" s="1"/>
  <c r="BQ37" i="4"/>
  <c r="K39" i="3"/>
  <c r="N39" i="3" s="1"/>
  <c r="O39" i="3" s="1"/>
  <c r="F40" i="3" s="1"/>
  <c r="AI39" i="3"/>
  <c r="AK39" i="3"/>
  <c r="AL39" i="3" s="1"/>
  <c r="N37" i="6" l="1"/>
  <c r="O37" i="6" s="1"/>
  <c r="F38" i="6" s="1"/>
  <c r="AK37" i="5"/>
  <c r="AL37" i="5" s="1"/>
  <c r="AI37" i="5"/>
  <c r="I37" i="5"/>
  <c r="H37" i="4"/>
  <c r="Q37" i="4"/>
  <c r="R37" i="4" s="1"/>
  <c r="AB37" i="4" s="1"/>
  <c r="AC37" i="4" s="1"/>
  <c r="AD37" i="4" s="1"/>
  <c r="AM39" i="3"/>
  <c r="AN39" i="3" s="1"/>
  <c r="AO39" i="3" s="1"/>
  <c r="L40" i="3" s="1"/>
  <c r="AS40" i="3"/>
  <c r="AW40" i="3" s="1"/>
  <c r="G40" i="3"/>
  <c r="AM37" i="5" l="1"/>
  <c r="AN37" i="5" s="1"/>
  <c r="AO37" i="5" s="1"/>
  <c r="L38" i="5" s="1"/>
  <c r="AS38" i="6"/>
  <c r="AW38" i="6" s="1"/>
  <c r="G38" i="6"/>
  <c r="K37" i="5"/>
  <c r="M37" i="5"/>
  <c r="AK37" i="4"/>
  <c r="AL37" i="4" s="1"/>
  <c r="AI37" i="4"/>
  <c r="I37" i="4"/>
  <c r="BH40" i="3"/>
  <c r="AY40" i="3"/>
  <c r="AY38" i="6" l="1"/>
  <c r="BH38" i="6"/>
  <c r="N37" i="5"/>
  <c r="O37" i="5" s="1"/>
  <c r="F38" i="5" s="1"/>
  <c r="AM37" i="4"/>
  <c r="AN37" i="4" s="1"/>
  <c r="AO37" i="4" s="1"/>
  <c r="L38" i="4" s="1"/>
  <c r="K37" i="4"/>
  <c r="M37" i="4"/>
  <c r="BD40" i="3"/>
  <c r="BC40" i="3"/>
  <c r="AZ40" i="3"/>
  <c r="BA40" i="3"/>
  <c r="BB40" i="3"/>
  <c r="BL40" i="3"/>
  <c r="BM40" i="3"/>
  <c r="BJ40" i="3"/>
  <c r="BI40" i="3"/>
  <c r="BK40" i="3"/>
  <c r="N37" i="4" l="1"/>
  <c r="BM38" i="6"/>
  <c r="BL38" i="6"/>
  <c r="BJ38" i="6"/>
  <c r="BI38" i="6"/>
  <c r="BK38" i="6"/>
  <c r="BD38" i="6"/>
  <c r="BC38" i="6"/>
  <c r="BB38" i="6"/>
  <c r="BA38" i="6"/>
  <c r="AZ38" i="6"/>
  <c r="AS38" i="5"/>
  <c r="AW38" i="5" s="1"/>
  <c r="G38" i="5"/>
  <c r="BN40" i="3"/>
  <c r="BO40" i="3" s="1"/>
  <c r="BE40" i="3"/>
  <c r="BF40" i="3" s="1"/>
  <c r="O37" i="4" l="1"/>
  <c r="F38" i="4" s="1"/>
  <c r="BE38" i="6"/>
  <c r="BF38" i="6" s="1"/>
  <c r="BN38" i="6"/>
  <c r="BO38" i="6" s="1"/>
  <c r="BP38" i="6" s="1"/>
  <c r="BH38" i="5"/>
  <c r="AY38" i="5"/>
  <c r="BP40" i="3"/>
  <c r="BQ40" i="3" s="1"/>
  <c r="AS38" i="4" l="1"/>
  <c r="AW38" i="4" s="1"/>
  <c r="G38" i="4"/>
  <c r="BQ38" i="6"/>
  <c r="BD38" i="5"/>
  <c r="BC38" i="5"/>
  <c r="BA38" i="5"/>
  <c r="AZ38" i="5"/>
  <c r="BB38" i="5"/>
  <c r="BM38" i="5"/>
  <c r="BL38" i="5"/>
  <c r="BJ38" i="5"/>
  <c r="BI38" i="5"/>
  <c r="BK38" i="5"/>
  <c r="H40" i="3"/>
  <c r="I40" i="3" s="1"/>
  <c r="M40" i="3" s="1"/>
  <c r="Q40" i="3"/>
  <c r="R40" i="3" s="1"/>
  <c r="AB40" i="3" s="1"/>
  <c r="AC40" i="3" s="1"/>
  <c r="AD40" i="3" s="1"/>
  <c r="BH38" i="4" l="1"/>
  <c r="AY38" i="4"/>
  <c r="BE38" i="5"/>
  <c r="BF38" i="5" s="1"/>
  <c r="H38" i="6"/>
  <c r="Q38" i="6"/>
  <c r="R38" i="6" s="1"/>
  <c r="AB38" i="6" s="1"/>
  <c r="AC38" i="6" s="1"/>
  <c r="AD38" i="6" s="1"/>
  <c r="BN38" i="5"/>
  <c r="BO38" i="5" s="1"/>
  <c r="BP38" i="5" s="1"/>
  <c r="BQ38" i="5" s="1"/>
  <c r="AI40" i="3"/>
  <c r="AK40" i="3"/>
  <c r="AL40" i="3" s="1"/>
  <c r="K40" i="3"/>
  <c r="BB38" i="4" l="1"/>
  <c r="BA38" i="4"/>
  <c r="BD38" i="4"/>
  <c r="BC38" i="4"/>
  <c r="AZ38" i="4"/>
  <c r="BE38" i="4" s="1"/>
  <c r="BF38" i="4" s="1"/>
  <c r="BL38" i="4"/>
  <c r="BI38" i="4"/>
  <c r="BM38" i="4"/>
  <c r="BJ38" i="4"/>
  <c r="BK38" i="4"/>
  <c r="AK38" i="6"/>
  <c r="AL38" i="6" s="1"/>
  <c r="AI38" i="6"/>
  <c r="I38" i="6"/>
  <c r="H38" i="5"/>
  <c r="Q38" i="5"/>
  <c r="R38" i="5" s="1"/>
  <c r="AB38" i="5" s="1"/>
  <c r="AC38" i="5" s="1"/>
  <c r="AD38" i="5" s="1"/>
  <c r="AM40" i="3"/>
  <c r="AN40" i="3" s="1"/>
  <c r="AO40" i="3" s="1"/>
  <c r="L41" i="3" s="1"/>
  <c r="N40" i="3"/>
  <c r="O40" i="3" s="1"/>
  <c r="F41" i="3" s="1"/>
  <c r="BN38" i="4" l="1"/>
  <c r="BO38" i="4" s="1"/>
  <c r="BP38" i="4" s="1"/>
  <c r="BQ38" i="4" s="1"/>
  <c r="AM38" i="6"/>
  <c r="AN38" i="6" s="1"/>
  <c r="AO38" i="6" s="1"/>
  <c r="L39" i="6" s="1"/>
  <c r="K38" i="6"/>
  <c r="M38" i="6"/>
  <c r="AK38" i="5"/>
  <c r="AL38" i="5" s="1"/>
  <c r="AI38" i="5"/>
  <c r="I38" i="5"/>
  <c r="AS41" i="3"/>
  <c r="AW41" i="3" s="1"/>
  <c r="G41" i="3"/>
  <c r="H38" i="4" l="1"/>
  <c r="Q38" i="4"/>
  <c r="R38" i="4" s="1"/>
  <c r="AB38" i="4" s="1"/>
  <c r="AC38" i="4" s="1"/>
  <c r="AD38" i="4" s="1"/>
  <c r="AI38" i="4" s="1"/>
  <c r="AM38" i="5"/>
  <c r="AN38" i="5" s="1"/>
  <c r="AO38" i="5" s="1"/>
  <c r="L39" i="5" s="1"/>
  <c r="N38" i="6"/>
  <c r="O38" i="6" s="1"/>
  <c r="F39" i="6" s="1"/>
  <c r="K38" i="5"/>
  <c r="M38" i="5"/>
  <c r="I38" i="4"/>
  <c r="BH41" i="3"/>
  <c r="AY41" i="3"/>
  <c r="AK38" i="4" l="1"/>
  <c r="AL38" i="4" s="1"/>
  <c r="AM38" i="4" s="1"/>
  <c r="AN38" i="4" s="1"/>
  <c r="AO38" i="4" s="1"/>
  <c r="L39" i="4" s="1"/>
  <c r="AS39" i="6"/>
  <c r="AW39" i="6" s="1"/>
  <c r="G39" i="6"/>
  <c r="N38" i="5"/>
  <c r="O38" i="5" s="1"/>
  <c r="F39" i="5" s="1"/>
  <c r="K38" i="4"/>
  <c r="M38" i="4"/>
  <c r="BD41" i="3"/>
  <c r="BC41" i="3"/>
  <c r="BB41" i="3"/>
  <c r="BA41" i="3"/>
  <c r="AZ41" i="3"/>
  <c r="BM41" i="3"/>
  <c r="BL41" i="3"/>
  <c r="BI41" i="3"/>
  <c r="BK41" i="3"/>
  <c r="BJ41" i="3"/>
  <c r="BH39" i="6" l="1"/>
  <c r="AY39" i="6"/>
  <c r="AS39" i="5"/>
  <c r="AW39" i="5" s="1"/>
  <c r="G39" i="5"/>
  <c r="N38" i="4"/>
  <c r="BE41" i="3"/>
  <c r="BF41" i="3" s="1"/>
  <c r="BN41" i="3"/>
  <c r="BO41" i="3" s="1"/>
  <c r="O38" i="4" l="1"/>
  <c r="F39" i="4" s="1"/>
  <c r="BD39" i="6"/>
  <c r="BC39" i="6"/>
  <c r="BB39" i="6"/>
  <c r="BA39" i="6"/>
  <c r="AZ39" i="6"/>
  <c r="BM39" i="6"/>
  <c r="BL39" i="6"/>
  <c r="BK39" i="6"/>
  <c r="BI39" i="6"/>
  <c r="BJ39" i="6"/>
  <c r="BH39" i="5"/>
  <c r="AY39" i="5"/>
  <c r="BP41" i="3"/>
  <c r="BQ41" i="3" s="1"/>
  <c r="AS39" i="4" l="1"/>
  <c r="AW39" i="4" s="1"/>
  <c r="G39" i="4"/>
  <c r="BE39" i="6"/>
  <c r="BF39" i="6" s="1"/>
  <c r="BN39" i="6"/>
  <c r="BO39" i="6" s="1"/>
  <c r="BD39" i="5"/>
  <c r="BC39" i="5"/>
  <c r="BA39" i="5"/>
  <c r="BB39" i="5"/>
  <c r="AZ39" i="5"/>
  <c r="BM39" i="5"/>
  <c r="BL39" i="5"/>
  <c r="BJ39" i="5"/>
  <c r="BI39" i="5"/>
  <c r="BK39" i="5"/>
  <c r="BH39" i="4"/>
  <c r="AY39" i="4"/>
  <c r="H41" i="3"/>
  <c r="I41" i="3" s="1"/>
  <c r="M41" i="3" s="1"/>
  <c r="Q41" i="3"/>
  <c r="R41" i="3" s="1"/>
  <c r="AB41" i="3" s="1"/>
  <c r="AC41" i="3" s="1"/>
  <c r="AD41" i="3" s="1"/>
  <c r="BP39" i="6" l="1"/>
  <c r="BQ39" i="6" s="1"/>
  <c r="H39" i="6" s="1"/>
  <c r="BE39" i="5"/>
  <c r="BF39" i="5" s="1"/>
  <c r="BN39" i="5"/>
  <c r="BO39" i="5" s="1"/>
  <c r="BP39" i="5" s="1"/>
  <c r="BQ39" i="5" s="1"/>
  <c r="BD39" i="4"/>
  <c r="BC39" i="4"/>
  <c r="BA39" i="4"/>
  <c r="AZ39" i="4"/>
  <c r="BB39" i="4"/>
  <c r="BM39" i="4"/>
  <c r="BL39" i="4"/>
  <c r="BJ39" i="4"/>
  <c r="BI39" i="4"/>
  <c r="BK39" i="4"/>
  <c r="K41" i="3"/>
  <c r="N41" i="3" s="1"/>
  <c r="O41" i="3" s="1"/>
  <c r="F42" i="3" s="1"/>
  <c r="AI41" i="3"/>
  <c r="AK41" i="3"/>
  <c r="AL41" i="3" s="1"/>
  <c r="Q39" i="6" l="1"/>
  <c r="R39" i="6" s="1"/>
  <c r="AB39" i="6" s="1"/>
  <c r="AC39" i="6" s="1"/>
  <c r="AD39" i="6" s="1"/>
  <c r="AK39" i="6" s="1"/>
  <c r="AL39" i="6" s="1"/>
  <c r="I39" i="6"/>
  <c r="H39" i="5"/>
  <c r="Q39" i="5"/>
  <c r="R39" i="5" s="1"/>
  <c r="AB39" i="5" s="1"/>
  <c r="AC39" i="5" s="1"/>
  <c r="AD39" i="5" s="1"/>
  <c r="BE39" i="4"/>
  <c r="BF39" i="4" s="1"/>
  <c r="BN39" i="4"/>
  <c r="BO39" i="4" s="1"/>
  <c r="AM41" i="3"/>
  <c r="AN41" i="3" s="1"/>
  <c r="AO41" i="3" s="1"/>
  <c r="L42" i="3" s="1"/>
  <c r="AS42" i="3"/>
  <c r="AW42" i="3" s="1"/>
  <c r="G42" i="3"/>
  <c r="AI39" i="6" l="1"/>
  <c r="AM39" i="6"/>
  <c r="AN39" i="6" s="1"/>
  <c r="AO39" i="6" s="1"/>
  <c r="L40" i="6" s="1"/>
  <c r="BP39" i="4"/>
  <c r="BQ39" i="4" s="1"/>
  <c r="K39" i="6"/>
  <c r="M39" i="6"/>
  <c r="AK39" i="5"/>
  <c r="AL39" i="5" s="1"/>
  <c r="AI39" i="5"/>
  <c r="I39" i="5"/>
  <c r="AY42" i="3"/>
  <c r="BH42" i="3"/>
  <c r="AM39" i="5" l="1"/>
  <c r="AN39" i="5" s="1"/>
  <c r="AO39" i="5" s="1"/>
  <c r="L40" i="5" s="1"/>
  <c r="N39" i="6"/>
  <c r="O39" i="6" s="1"/>
  <c r="F40" i="6" s="1"/>
  <c r="K39" i="5"/>
  <c r="M39" i="5"/>
  <c r="H39" i="4"/>
  <c r="Q39" i="4"/>
  <c r="R39" i="4" s="1"/>
  <c r="AB39" i="4" s="1"/>
  <c r="AC39" i="4" s="1"/>
  <c r="AD39" i="4" s="1"/>
  <c r="BL42" i="3"/>
  <c r="BM42" i="3"/>
  <c r="BI42" i="3"/>
  <c r="BJ42" i="3"/>
  <c r="BK42" i="3"/>
  <c r="BC42" i="3"/>
  <c r="BD42" i="3"/>
  <c r="BA42" i="3"/>
  <c r="BB42" i="3"/>
  <c r="AZ42" i="3"/>
  <c r="AS40" i="6" l="1"/>
  <c r="AW40" i="6" s="1"/>
  <c r="G40" i="6"/>
  <c r="N39" i="5"/>
  <c r="O39" i="5" s="1"/>
  <c r="F40" i="5" s="1"/>
  <c r="AI39" i="4"/>
  <c r="AK39" i="4"/>
  <c r="AL39" i="4" s="1"/>
  <c r="I39" i="4"/>
  <c r="BE42" i="3"/>
  <c r="BF42" i="3" s="1"/>
  <c r="BN42" i="3"/>
  <c r="BO42" i="3" s="1"/>
  <c r="AY40" i="6" l="1"/>
  <c r="BH40" i="6"/>
  <c r="AS40" i="5"/>
  <c r="AW40" i="5" s="1"/>
  <c r="G40" i="5"/>
  <c r="K39" i="4"/>
  <c r="M39" i="4"/>
  <c r="AM39" i="4"/>
  <c r="AN39" i="4" s="1"/>
  <c r="AO39" i="4" s="1"/>
  <c r="L40" i="4" s="1"/>
  <c r="BP42" i="3"/>
  <c r="BQ42" i="3" s="1"/>
  <c r="BM40" i="6" l="1"/>
  <c r="BL40" i="6"/>
  <c r="BJ40" i="6"/>
  <c r="BK40" i="6"/>
  <c r="BI40" i="6"/>
  <c r="BD40" i="6"/>
  <c r="BC40" i="6"/>
  <c r="BB40" i="6"/>
  <c r="AZ40" i="6"/>
  <c r="BA40" i="6"/>
  <c r="BH40" i="5"/>
  <c r="AY40" i="5"/>
  <c r="N39" i="4"/>
  <c r="H42" i="3"/>
  <c r="I42" i="3" s="1"/>
  <c r="M42" i="3" s="1"/>
  <c r="Q42" i="3"/>
  <c r="R42" i="3" s="1"/>
  <c r="AB42" i="3" s="1"/>
  <c r="AC42" i="3" s="1"/>
  <c r="AD42" i="3" s="1"/>
  <c r="F40" i="4" l="1"/>
  <c r="AS40" i="4" s="1"/>
  <c r="AW40" i="4" s="1"/>
  <c r="O39" i="4"/>
  <c r="BN40" i="6"/>
  <c r="BO40" i="6" s="1"/>
  <c r="BE40" i="6"/>
  <c r="BF40" i="6" s="1"/>
  <c r="BD40" i="5"/>
  <c r="BC40" i="5"/>
  <c r="BA40" i="5"/>
  <c r="AZ40" i="5"/>
  <c r="BB40" i="5"/>
  <c r="BM40" i="5"/>
  <c r="BL40" i="5"/>
  <c r="BI40" i="5"/>
  <c r="BK40" i="5"/>
  <c r="BJ40" i="5"/>
  <c r="AK42" i="3"/>
  <c r="AL42" i="3" s="1"/>
  <c r="AI42" i="3"/>
  <c r="K42" i="3"/>
  <c r="G40" i="4" l="1"/>
  <c r="BE40" i="5"/>
  <c r="BF40" i="5" s="1"/>
  <c r="BN40" i="5"/>
  <c r="BO40" i="5" s="1"/>
  <c r="BP40" i="6"/>
  <c r="BQ40" i="6" s="1"/>
  <c r="BH40" i="4"/>
  <c r="AY40" i="4"/>
  <c r="AM42" i="3"/>
  <c r="AN42" i="3" s="1"/>
  <c r="AO42" i="3" s="1"/>
  <c r="L43" i="3" s="1"/>
  <c r="N42" i="3"/>
  <c r="O42" i="3" s="1"/>
  <c r="F43" i="3" s="1"/>
  <c r="BP40" i="5" l="1"/>
  <c r="BQ40" i="5" s="1"/>
  <c r="H40" i="6"/>
  <c r="Q40" i="6"/>
  <c r="R40" i="6" s="1"/>
  <c r="AB40" i="6" s="1"/>
  <c r="AC40" i="6" s="1"/>
  <c r="AD40" i="6" s="1"/>
  <c r="H40" i="5"/>
  <c r="Q40" i="5"/>
  <c r="R40" i="5" s="1"/>
  <c r="AB40" i="5" s="1"/>
  <c r="AC40" i="5" s="1"/>
  <c r="AD40" i="5" s="1"/>
  <c r="BD40" i="4"/>
  <c r="BC40" i="4"/>
  <c r="AZ40" i="4"/>
  <c r="BB40" i="4"/>
  <c r="BA40" i="4"/>
  <c r="BM40" i="4"/>
  <c r="BL40" i="4"/>
  <c r="BJ40" i="4"/>
  <c r="BI40" i="4"/>
  <c r="BK40" i="4"/>
  <c r="AS43" i="3"/>
  <c r="AW43" i="3" s="1"/>
  <c r="BH43" i="3" s="1"/>
  <c r="G43" i="3"/>
  <c r="AI40" i="6" l="1"/>
  <c r="AK40" i="6"/>
  <c r="AL40" i="6" s="1"/>
  <c r="I40" i="6"/>
  <c r="AK40" i="5"/>
  <c r="AL40" i="5" s="1"/>
  <c r="AI40" i="5"/>
  <c r="I40" i="5"/>
  <c r="BE40" i="4"/>
  <c r="BF40" i="4" s="1"/>
  <c r="BN40" i="4"/>
  <c r="BO40" i="4" s="1"/>
  <c r="BP40" i="4" s="1"/>
  <c r="AY43" i="3"/>
  <c r="BC43" i="3" s="1"/>
  <c r="BL43" i="3"/>
  <c r="BM43" i="3"/>
  <c r="BJ43" i="3"/>
  <c r="BI43" i="3"/>
  <c r="BK43" i="3"/>
  <c r="AM40" i="5" l="1"/>
  <c r="AN40" i="5" s="1"/>
  <c r="AO40" i="5" s="1"/>
  <c r="L41" i="5" s="1"/>
  <c r="AZ43" i="3"/>
  <c r="BD43" i="3"/>
  <c r="BB43" i="3"/>
  <c r="BA43" i="3"/>
  <c r="K40" i="6"/>
  <c r="M40" i="6"/>
  <c r="AM40" i="6"/>
  <c r="AN40" i="6" s="1"/>
  <c r="AO40" i="6" s="1"/>
  <c r="L41" i="6" s="1"/>
  <c r="K40" i="5"/>
  <c r="M40" i="5"/>
  <c r="BQ40" i="4"/>
  <c r="BN43" i="3"/>
  <c r="BO43" i="3" s="1"/>
  <c r="BE43" i="3" l="1"/>
  <c r="BF43" i="3" s="1"/>
  <c r="BP43" i="3" s="1"/>
  <c r="BQ43" i="3" s="1"/>
  <c r="N40" i="6"/>
  <c r="O40" i="6" s="1"/>
  <c r="F41" i="6" s="1"/>
  <c r="N40" i="5"/>
  <c r="O40" i="5" s="1"/>
  <c r="F41" i="5" s="1"/>
  <c r="H40" i="4"/>
  <c r="Q40" i="4"/>
  <c r="R40" i="4" s="1"/>
  <c r="AB40" i="4" s="1"/>
  <c r="AC40" i="4" s="1"/>
  <c r="AD40" i="4" s="1"/>
  <c r="AS41" i="6" l="1"/>
  <c r="AW41" i="6" s="1"/>
  <c r="G41" i="6"/>
  <c r="AS41" i="5"/>
  <c r="AW41" i="5" s="1"/>
  <c r="G41" i="5"/>
  <c r="AK40" i="4"/>
  <c r="AL40" i="4" s="1"/>
  <c r="AI40" i="4"/>
  <c r="I40" i="4"/>
  <c r="H43" i="3"/>
  <c r="I43" i="3" s="1"/>
  <c r="M43" i="3" s="1"/>
  <c r="Q43" i="3"/>
  <c r="R43" i="3" s="1"/>
  <c r="AB43" i="3" s="1"/>
  <c r="AC43" i="3" s="1"/>
  <c r="AD43" i="3" s="1"/>
  <c r="AM40" i="4" l="1"/>
  <c r="AN40" i="4" s="1"/>
  <c r="AO40" i="4" s="1"/>
  <c r="L41" i="4" s="1"/>
  <c r="BH41" i="6"/>
  <c r="AY41" i="6"/>
  <c r="AY41" i="5"/>
  <c r="BH41" i="5"/>
  <c r="K40" i="4"/>
  <c r="M40" i="4"/>
  <c r="AK43" i="3"/>
  <c r="AL43" i="3" s="1"/>
  <c r="AI43" i="3"/>
  <c r="K43" i="3"/>
  <c r="BD41" i="6" l="1"/>
  <c r="BC41" i="6"/>
  <c r="BB41" i="6"/>
  <c r="AZ41" i="6"/>
  <c r="BA41" i="6"/>
  <c r="BM41" i="6"/>
  <c r="BL41" i="6"/>
  <c r="BI41" i="6"/>
  <c r="BK41" i="6"/>
  <c r="BJ41" i="6"/>
  <c r="BM41" i="5"/>
  <c r="BL41" i="5"/>
  <c r="BI41" i="5"/>
  <c r="BJ41" i="5"/>
  <c r="BK41" i="5"/>
  <c r="BD41" i="5"/>
  <c r="BC41" i="5"/>
  <c r="AZ41" i="5"/>
  <c r="BB41" i="5"/>
  <c r="BA41" i="5"/>
  <c r="N40" i="4"/>
  <c r="AM43" i="3"/>
  <c r="AN43" i="3" s="1"/>
  <c r="AO43" i="3" s="1"/>
  <c r="L44" i="3" s="1"/>
  <c r="N43" i="3"/>
  <c r="O43" i="3" s="1"/>
  <c r="F44" i="3" s="1"/>
  <c r="O40" i="4" l="1"/>
  <c r="F41" i="4" s="1"/>
  <c r="BN41" i="6"/>
  <c r="BO41" i="6" s="1"/>
  <c r="BE41" i="5"/>
  <c r="BF41" i="5" s="1"/>
  <c r="BE41" i="6"/>
  <c r="BF41" i="6" s="1"/>
  <c r="BN41" i="5"/>
  <c r="BO41" i="5" s="1"/>
  <c r="BP41" i="5" s="1"/>
  <c r="BQ41" i="5" s="1"/>
  <c r="AS44" i="3"/>
  <c r="AW44" i="3" s="1"/>
  <c r="G44" i="3"/>
  <c r="AS41" i="4" l="1"/>
  <c r="AW41" i="4" s="1"/>
  <c r="G41" i="4"/>
  <c r="BP41" i="6"/>
  <c r="BQ41" i="6" s="1"/>
  <c r="H41" i="5"/>
  <c r="Q41" i="5"/>
  <c r="R41" i="5" s="1"/>
  <c r="AB41" i="5" s="1"/>
  <c r="AC41" i="5" s="1"/>
  <c r="AD41" i="5" s="1"/>
  <c r="BH41" i="4"/>
  <c r="AY41" i="4"/>
  <c r="AY44" i="3"/>
  <c r="BH44" i="3"/>
  <c r="H41" i="6" l="1"/>
  <c r="Q41" i="6"/>
  <c r="R41" i="6" s="1"/>
  <c r="AB41" i="6" s="1"/>
  <c r="AC41" i="6" s="1"/>
  <c r="AD41" i="6" s="1"/>
  <c r="AK41" i="5"/>
  <c r="AL41" i="5" s="1"/>
  <c r="AI41" i="5"/>
  <c r="I41" i="5"/>
  <c r="BD41" i="4"/>
  <c r="BC41" i="4"/>
  <c r="BA41" i="4"/>
  <c r="AZ41" i="4"/>
  <c r="BB41" i="4"/>
  <c r="BM41" i="4"/>
  <c r="BL41" i="4"/>
  <c r="BJ41" i="4"/>
  <c r="BI41" i="4"/>
  <c r="BK41" i="4"/>
  <c r="BL44" i="3"/>
  <c r="BM44" i="3"/>
  <c r="BK44" i="3"/>
  <c r="BJ44" i="3"/>
  <c r="BI44" i="3"/>
  <c r="BC44" i="3"/>
  <c r="BD44" i="3"/>
  <c r="BA44" i="3"/>
  <c r="BB44" i="3"/>
  <c r="AZ44" i="3"/>
  <c r="BN41" i="4" l="1"/>
  <c r="BO41" i="4" s="1"/>
  <c r="AM41" i="5"/>
  <c r="AN41" i="5" s="1"/>
  <c r="AO41" i="5" s="1"/>
  <c r="L42" i="5" s="1"/>
  <c r="AI41" i="6"/>
  <c r="AK41" i="6"/>
  <c r="AL41" i="6" s="1"/>
  <c r="I41" i="6"/>
  <c r="K41" i="5"/>
  <c r="M41" i="5"/>
  <c r="BE41" i="4"/>
  <c r="BF41" i="4" s="1"/>
  <c r="BP41" i="4" s="1"/>
  <c r="BN44" i="3"/>
  <c r="BO44" i="3" s="1"/>
  <c r="BE44" i="3"/>
  <c r="BF44" i="3" s="1"/>
  <c r="K41" i="6" l="1"/>
  <c r="M41" i="6"/>
  <c r="AM41" i="6"/>
  <c r="AN41" i="6" s="1"/>
  <c r="AO41" i="6" s="1"/>
  <c r="L42" i="6" s="1"/>
  <c r="N41" i="5"/>
  <c r="O41" i="5" s="1"/>
  <c r="F42" i="5" s="1"/>
  <c r="BQ41" i="4"/>
  <c r="BP44" i="3"/>
  <c r="BQ44" i="3" s="1"/>
  <c r="N41" i="6" l="1"/>
  <c r="O41" i="6" s="1"/>
  <c r="F42" i="6" s="1"/>
  <c r="AS42" i="5"/>
  <c r="AW42" i="5" s="1"/>
  <c r="G42" i="5"/>
  <c r="H41" i="4"/>
  <c r="Q41" i="4"/>
  <c r="R41" i="4" s="1"/>
  <c r="AB41" i="4" s="1"/>
  <c r="AC41" i="4" s="1"/>
  <c r="AD41" i="4" s="1"/>
  <c r="H44" i="3"/>
  <c r="I44" i="3" s="1"/>
  <c r="M44" i="3" s="1"/>
  <c r="Q44" i="3"/>
  <c r="R44" i="3" s="1"/>
  <c r="AB44" i="3" s="1"/>
  <c r="AC44" i="3" s="1"/>
  <c r="AD44" i="3" s="1"/>
  <c r="AS42" i="6" l="1"/>
  <c r="AW42" i="6" s="1"/>
  <c r="G42" i="6"/>
  <c r="BH42" i="5"/>
  <c r="AY42" i="5"/>
  <c r="AI41" i="4"/>
  <c r="AK41" i="4"/>
  <c r="AL41" i="4" s="1"/>
  <c r="I41" i="4"/>
  <c r="AK44" i="3"/>
  <c r="AL44" i="3" s="1"/>
  <c r="AI44" i="3"/>
  <c r="K44" i="3"/>
  <c r="AY42" i="6" l="1"/>
  <c r="BH42" i="6"/>
  <c r="BD42" i="5"/>
  <c r="BC42" i="5"/>
  <c r="AZ42" i="5"/>
  <c r="BB42" i="5"/>
  <c r="BA42" i="5"/>
  <c r="BM42" i="5"/>
  <c r="BL42" i="5"/>
  <c r="BK42" i="5"/>
  <c r="BJ42" i="5"/>
  <c r="BI42" i="5"/>
  <c r="K41" i="4"/>
  <c r="M41" i="4"/>
  <c r="AM41" i="4"/>
  <c r="AN41" i="4" s="1"/>
  <c r="AO41" i="4" s="1"/>
  <c r="L42" i="4" s="1"/>
  <c r="AM44" i="3"/>
  <c r="AN44" i="3" s="1"/>
  <c r="AO44" i="3" s="1"/>
  <c r="L45" i="3" s="1"/>
  <c r="N44" i="3"/>
  <c r="O44" i="3" s="1"/>
  <c r="F45" i="3" s="1"/>
  <c r="BE42" i="5" l="1"/>
  <c r="BF42" i="5" s="1"/>
  <c r="BM42" i="6"/>
  <c r="BL42" i="6"/>
  <c r="BK42" i="6"/>
  <c r="BI42" i="6"/>
  <c r="BJ42" i="6"/>
  <c r="BD42" i="6"/>
  <c r="BC42" i="6"/>
  <c r="BB42" i="6"/>
  <c r="BA42" i="6"/>
  <c r="AZ42" i="6"/>
  <c r="BN42" i="5"/>
  <c r="BO42" i="5" s="1"/>
  <c r="N41" i="4"/>
  <c r="AS45" i="3"/>
  <c r="AW45" i="3" s="1"/>
  <c r="G45" i="3"/>
  <c r="F42" i="4" l="1"/>
  <c r="AS42" i="4" s="1"/>
  <c r="AW42" i="4" s="1"/>
  <c r="O41" i="4"/>
  <c r="BN42" i="6"/>
  <c r="BO42" i="6" s="1"/>
  <c r="BP42" i="5"/>
  <c r="BQ42" i="5" s="1"/>
  <c r="Q42" i="5" s="1"/>
  <c r="R42" i="5" s="1"/>
  <c r="AB42" i="5" s="1"/>
  <c r="AC42" i="5" s="1"/>
  <c r="AD42" i="5" s="1"/>
  <c r="BE42" i="6"/>
  <c r="BF42" i="6" s="1"/>
  <c r="G42" i="4"/>
  <c r="BH45" i="3"/>
  <c r="AY45" i="3"/>
  <c r="H42" i="5" l="1"/>
  <c r="BP42" i="6"/>
  <c r="BQ42" i="6" s="1"/>
  <c r="AK42" i="5"/>
  <c r="AL42" i="5" s="1"/>
  <c r="AI42" i="5"/>
  <c r="I42" i="5"/>
  <c r="BH42" i="4"/>
  <c r="AY42" i="4"/>
  <c r="BC45" i="3"/>
  <c r="BD45" i="3"/>
  <c r="AZ45" i="3"/>
  <c r="BB45" i="3"/>
  <c r="BA45" i="3"/>
  <c r="BL45" i="3"/>
  <c r="BM45" i="3"/>
  <c r="BJ45" i="3"/>
  <c r="BK45" i="3"/>
  <c r="BI45" i="3"/>
  <c r="AM42" i="5" l="1"/>
  <c r="AN42" i="5" s="1"/>
  <c r="AO42" i="5" s="1"/>
  <c r="L43" i="5" s="1"/>
  <c r="H42" i="6"/>
  <c r="Q42" i="6"/>
  <c r="R42" i="6" s="1"/>
  <c r="AB42" i="6" s="1"/>
  <c r="AC42" i="6" s="1"/>
  <c r="AD42" i="6" s="1"/>
  <c r="K42" i="5"/>
  <c r="M42" i="5"/>
  <c r="BD42" i="4"/>
  <c r="BC42" i="4"/>
  <c r="BB42" i="4"/>
  <c r="AZ42" i="4"/>
  <c r="BA42" i="4"/>
  <c r="BM42" i="4"/>
  <c r="BL42" i="4"/>
  <c r="BJ42" i="4"/>
  <c r="BI42" i="4"/>
  <c r="BK42" i="4"/>
  <c r="BN45" i="3"/>
  <c r="BO45" i="3" s="1"/>
  <c r="BE45" i="3"/>
  <c r="BF45" i="3" s="1"/>
  <c r="BE42" i="4" l="1"/>
  <c r="BF42" i="4" s="1"/>
  <c r="AI42" i="6"/>
  <c r="AK42" i="6"/>
  <c r="AL42" i="6" s="1"/>
  <c r="I42" i="6"/>
  <c r="N42" i="5"/>
  <c r="O42" i="5" s="1"/>
  <c r="F43" i="5" s="1"/>
  <c r="BN42" i="4"/>
  <c r="BO42" i="4" s="1"/>
  <c r="BP45" i="3"/>
  <c r="BQ45" i="3" s="1"/>
  <c r="BP42" i="4" l="1"/>
  <c r="BQ42" i="4" s="1"/>
  <c r="H42" i="4" s="1"/>
  <c r="K42" i="6"/>
  <c r="M42" i="6"/>
  <c r="AM42" i="6"/>
  <c r="AN42" i="6" s="1"/>
  <c r="AO42" i="6" s="1"/>
  <c r="L43" i="6" s="1"/>
  <c r="AS43" i="5"/>
  <c r="AW43" i="5" s="1"/>
  <c r="G43" i="5"/>
  <c r="H45" i="3"/>
  <c r="I45" i="3" s="1"/>
  <c r="M45" i="3" s="1"/>
  <c r="Q45" i="3"/>
  <c r="R45" i="3" s="1"/>
  <c r="AB45" i="3" s="1"/>
  <c r="AC45" i="3" s="1"/>
  <c r="AD45" i="3" s="1"/>
  <c r="Q42" i="4" l="1"/>
  <c r="R42" i="4" s="1"/>
  <c r="AB42" i="4" s="1"/>
  <c r="AC42" i="4" s="1"/>
  <c r="AD42" i="4" s="1"/>
  <c r="AK42" i="4" s="1"/>
  <c r="AL42" i="4" s="1"/>
  <c r="N42" i="6"/>
  <c r="O42" i="6" s="1"/>
  <c r="F43" i="6" s="1"/>
  <c r="AY43" i="5"/>
  <c r="BH43" i="5"/>
  <c r="I42" i="4"/>
  <c r="AK45" i="3"/>
  <c r="AL45" i="3" s="1"/>
  <c r="AI45" i="3"/>
  <c r="K45" i="3"/>
  <c r="AI42" i="4" l="1"/>
  <c r="AS43" i="6"/>
  <c r="AW43" i="6" s="1"/>
  <c r="G43" i="6"/>
  <c r="BM43" i="5"/>
  <c r="BL43" i="5"/>
  <c r="BI43" i="5"/>
  <c r="BK43" i="5"/>
  <c r="BJ43" i="5"/>
  <c r="BD43" i="5"/>
  <c r="BC43" i="5"/>
  <c r="BB43" i="5"/>
  <c r="BA43" i="5"/>
  <c r="AZ43" i="5"/>
  <c r="K42" i="4"/>
  <c r="M42" i="4"/>
  <c r="AM42" i="4"/>
  <c r="AN42" i="4" s="1"/>
  <c r="AO42" i="4" s="1"/>
  <c r="L43" i="4" s="1"/>
  <c r="AM45" i="3"/>
  <c r="AN45" i="3" s="1"/>
  <c r="AO45" i="3" s="1"/>
  <c r="L46" i="3" s="1"/>
  <c r="N45" i="3"/>
  <c r="O45" i="3" s="1"/>
  <c r="F46" i="3" s="1"/>
  <c r="BN43" i="5" l="1"/>
  <c r="BO43" i="5" s="1"/>
  <c r="AY43" i="6"/>
  <c r="BH43" i="6"/>
  <c r="BE43" i="5"/>
  <c r="BF43" i="5" s="1"/>
  <c r="N42" i="4"/>
  <c r="AS46" i="3"/>
  <c r="AW46" i="3" s="1"/>
  <c r="G46" i="3"/>
  <c r="O42" i="4" l="1"/>
  <c r="F43" i="4" s="1"/>
  <c r="BM43" i="6"/>
  <c r="BL43" i="6"/>
  <c r="BK43" i="6"/>
  <c r="BI43" i="6"/>
  <c r="BJ43" i="6"/>
  <c r="BD43" i="6"/>
  <c r="BC43" i="6"/>
  <c r="BB43" i="6"/>
  <c r="BA43" i="6"/>
  <c r="AZ43" i="6"/>
  <c r="BP43" i="5"/>
  <c r="BQ43" i="5" s="1"/>
  <c r="AY46" i="3"/>
  <c r="BH46" i="3"/>
  <c r="G43" i="4" l="1"/>
  <c r="AS43" i="4"/>
  <c r="AW43" i="4" s="1"/>
  <c r="BH43" i="4" s="1"/>
  <c r="BN43" i="6"/>
  <c r="BO43" i="6" s="1"/>
  <c r="BE43" i="6"/>
  <c r="BF43" i="6" s="1"/>
  <c r="H43" i="5"/>
  <c r="Q43" i="5"/>
  <c r="R43" i="5" s="1"/>
  <c r="AB43" i="5" s="1"/>
  <c r="AC43" i="5" s="1"/>
  <c r="AD43" i="5" s="1"/>
  <c r="BM46" i="3"/>
  <c r="BL46" i="3"/>
  <c r="BJ46" i="3"/>
  <c r="BK46" i="3"/>
  <c r="BI46" i="3"/>
  <c r="BC46" i="3"/>
  <c r="BD46" i="3"/>
  <c r="BA46" i="3"/>
  <c r="BB46" i="3"/>
  <c r="AZ46" i="3"/>
  <c r="AY43" i="4" l="1"/>
  <c r="BP43" i="6"/>
  <c r="BQ43" i="6" s="1"/>
  <c r="AK43" i="5"/>
  <c r="AL43" i="5" s="1"/>
  <c r="AI43" i="5"/>
  <c r="I43" i="5"/>
  <c r="BD43" i="4"/>
  <c r="BC43" i="4"/>
  <c r="AZ43" i="4"/>
  <c r="BA43" i="4"/>
  <c r="BB43" i="4"/>
  <c r="BM43" i="4"/>
  <c r="BL43" i="4"/>
  <c r="BJ43" i="4"/>
  <c r="BI43" i="4"/>
  <c r="BK43" i="4"/>
  <c r="BN46" i="3"/>
  <c r="BO46" i="3" s="1"/>
  <c r="BE46" i="3"/>
  <c r="BF46" i="3" s="1"/>
  <c r="BE43" i="4" l="1"/>
  <c r="BF43" i="4" s="1"/>
  <c r="AM43" i="5"/>
  <c r="AN43" i="5" s="1"/>
  <c r="AO43" i="5" s="1"/>
  <c r="L44" i="5" s="1"/>
  <c r="H43" i="6"/>
  <c r="Q43" i="6"/>
  <c r="R43" i="6" s="1"/>
  <c r="AB43" i="6" s="1"/>
  <c r="AC43" i="6" s="1"/>
  <c r="AD43" i="6" s="1"/>
  <c r="K43" i="5"/>
  <c r="M43" i="5"/>
  <c r="BN43" i="4"/>
  <c r="BO43" i="4" s="1"/>
  <c r="BP43" i="4" s="1"/>
  <c r="BQ43" i="4" s="1"/>
  <c r="BP46" i="3"/>
  <c r="BQ46" i="3" s="1"/>
  <c r="AI43" i="6" l="1"/>
  <c r="AK43" i="6"/>
  <c r="AL43" i="6" s="1"/>
  <c r="I43" i="6"/>
  <c r="N43" i="5"/>
  <c r="O43" i="5" s="1"/>
  <c r="F44" i="5" s="1"/>
  <c r="H43" i="4"/>
  <c r="Q43" i="4"/>
  <c r="R43" i="4" s="1"/>
  <c r="AB43" i="4" s="1"/>
  <c r="AC43" i="4" s="1"/>
  <c r="AD43" i="4" s="1"/>
  <c r="H46" i="3"/>
  <c r="I46" i="3" s="1"/>
  <c r="M46" i="3" s="1"/>
  <c r="Q46" i="3"/>
  <c r="R46" i="3" s="1"/>
  <c r="AB46" i="3" s="1"/>
  <c r="AC46" i="3" s="1"/>
  <c r="AD46" i="3" s="1"/>
  <c r="K43" i="6" l="1"/>
  <c r="M43" i="6"/>
  <c r="AM43" i="6"/>
  <c r="AN43" i="6" s="1"/>
  <c r="AO43" i="6" s="1"/>
  <c r="L44" i="6" s="1"/>
  <c r="AS44" i="5"/>
  <c r="AW44" i="5" s="1"/>
  <c r="G44" i="5"/>
  <c r="AI43" i="4"/>
  <c r="AK43" i="4"/>
  <c r="AL43" i="4" s="1"/>
  <c r="I43" i="4"/>
  <c r="AI46" i="3"/>
  <c r="AK46" i="3"/>
  <c r="AL46" i="3" s="1"/>
  <c r="K46" i="3"/>
  <c r="N43" i="6" l="1"/>
  <c r="O43" i="6" s="1"/>
  <c r="F44" i="6" s="1"/>
  <c r="BH44" i="5"/>
  <c r="AY44" i="5"/>
  <c r="K43" i="4"/>
  <c r="M43" i="4"/>
  <c r="AM43" i="4"/>
  <c r="AN43" i="4" s="1"/>
  <c r="AO43" i="4" s="1"/>
  <c r="L44" i="4" s="1"/>
  <c r="AM46" i="3"/>
  <c r="AN46" i="3" s="1"/>
  <c r="AO46" i="3" s="1"/>
  <c r="L47" i="3" s="1"/>
  <c r="N46" i="3"/>
  <c r="O46" i="3" s="1"/>
  <c r="F47" i="3" s="1"/>
  <c r="AS44" i="6" l="1"/>
  <c r="AW44" i="6" s="1"/>
  <c r="G44" i="6"/>
  <c r="BD44" i="5"/>
  <c r="BC44" i="5"/>
  <c r="BB44" i="5"/>
  <c r="BA44" i="5"/>
  <c r="AZ44" i="5"/>
  <c r="BM44" i="5"/>
  <c r="BL44" i="5"/>
  <c r="BK44" i="5"/>
  <c r="BI44" i="5"/>
  <c r="BJ44" i="5"/>
  <c r="N43" i="4"/>
  <c r="AS47" i="3"/>
  <c r="AW47" i="3" s="1"/>
  <c r="G47" i="3"/>
  <c r="O43" i="4" l="1"/>
  <c r="F44" i="4" s="1"/>
  <c r="BE44" i="5"/>
  <c r="BF44" i="5" s="1"/>
  <c r="AY44" i="6"/>
  <c r="BH44" i="6"/>
  <c r="BN44" i="5"/>
  <c r="BO44" i="5" s="1"/>
  <c r="BP44" i="5" s="1"/>
  <c r="BQ44" i="5" s="1"/>
  <c r="BH47" i="3"/>
  <c r="AY47" i="3"/>
  <c r="AS44" i="4" l="1"/>
  <c r="AW44" i="4" s="1"/>
  <c r="G44" i="4"/>
  <c r="BM44" i="6"/>
  <c r="BL44" i="6"/>
  <c r="BI44" i="6"/>
  <c r="BJ44" i="6"/>
  <c r="BK44" i="6"/>
  <c r="BD44" i="6"/>
  <c r="BC44" i="6"/>
  <c r="AZ44" i="6"/>
  <c r="BA44" i="6"/>
  <c r="BB44" i="6"/>
  <c r="H44" i="5"/>
  <c r="Q44" i="5"/>
  <c r="R44" i="5" s="1"/>
  <c r="AB44" i="5" s="1"/>
  <c r="AC44" i="5" s="1"/>
  <c r="AD44" i="5" s="1"/>
  <c r="AY44" i="4"/>
  <c r="BH44" i="4"/>
  <c r="BC47" i="3"/>
  <c r="BD47" i="3"/>
  <c r="BB47" i="3"/>
  <c r="AZ47" i="3"/>
  <c r="BA47" i="3"/>
  <c r="BL47" i="3"/>
  <c r="BM47" i="3"/>
  <c r="BK47" i="3"/>
  <c r="BI47" i="3"/>
  <c r="BJ47" i="3"/>
  <c r="BE44" i="6" l="1"/>
  <c r="BF44" i="6" s="1"/>
  <c r="BN44" i="6"/>
  <c r="BO44" i="6" s="1"/>
  <c r="AK44" i="5"/>
  <c r="AL44" i="5" s="1"/>
  <c r="AI44" i="5"/>
  <c r="I44" i="5"/>
  <c r="BM44" i="4"/>
  <c r="BL44" i="4"/>
  <c r="BJ44" i="4"/>
  <c r="BI44" i="4"/>
  <c r="BK44" i="4"/>
  <c r="BD44" i="4"/>
  <c r="BC44" i="4"/>
  <c r="BA44" i="4"/>
  <c r="BB44" i="4"/>
  <c r="AZ44" i="4"/>
  <c r="BE47" i="3"/>
  <c r="BF47" i="3" s="1"/>
  <c r="BN47" i="3"/>
  <c r="BO47" i="3" s="1"/>
  <c r="BP44" i="6" l="1"/>
  <c r="BQ44" i="6" s="1"/>
  <c r="AM44" i="5"/>
  <c r="AN44" i="5" s="1"/>
  <c r="AO44" i="5" s="1"/>
  <c r="L45" i="5" s="1"/>
  <c r="BN44" i="4"/>
  <c r="BO44" i="4" s="1"/>
  <c r="H44" i="6"/>
  <c r="Q44" i="6"/>
  <c r="R44" i="6" s="1"/>
  <c r="AB44" i="6" s="1"/>
  <c r="AC44" i="6" s="1"/>
  <c r="AD44" i="6" s="1"/>
  <c r="K44" i="5"/>
  <c r="M44" i="5"/>
  <c r="BE44" i="4"/>
  <c r="BF44" i="4" s="1"/>
  <c r="BP47" i="3"/>
  <c r="BQ47" i="3" s="1"/>
  <c r="AI44" i="6" l="1"/>
  <c r="AK44" i="6"/>
  <c r="AL44" i="6" s="1"/>
  <c r="I44" i="6"/>
  <c r="N44" i="5"/>
  <c r="O44" i="5" s="1"/>
  <c r="F45" i="5" s="1"/>
  <c r="BP44" i="4"/>
  <c r="BQ44" i="4" s="1"/>
  <c r="H47" i="3"/>
  <c r="I47" i="3" s="1"/>
  <c r="M47" i="3" s="1"/>
  <c r="Q47" i="3"/>
  <c r="R47" i="3" s="1"/>
  <c r="AB47" i="3" s="1"/>
  <c r="AC47" i="3" s="1"/>
  <c r="AD47" i="3" s="1"/>
  <c r="K44" i="6" l="1"/>
  <c r="M44" i="6"/>
  <c r="AM44" i="6"/>
  <c r="AN44" i="6" s="1"/>
  <c r="AO44" i="6" s="1"/>
  <c r="L45" i="6" s="1"/>
  <c r="AS45" i="5"/>
  <c r="AW45" i="5" s="1"/>
  <c r="G45" i="5"/>
  <c r="H44" i="4"/>
  <c r="Q44" i="4"/>
  <c r="R44" i="4" s="1"/>
  <c r="AB44" i="4" s="1"/>
  <c r="AC44" i="4" s="1"/>
  <c r="AD44" i="4" s="1"/>
  <c r="K47" i="3"/>
  <c r="N47" i="3" s="1"/>
  <c r="O47" i="3" s="1"/>
  <c r="F48" i="3" s="1"/>
  <c r="AI47" i="3"/>
  <c r="AK47" i="3"/>
  <c r="AL47" i="3" s="1"/>
  <c r="N44" i="6" l="1"/>
  <c r="O44" i="6" s="1"/>
  <c r="F45" i="6" s="1"/>
  <c r="AY45" i="5"/>
  <c r="BH45" i="5"/>
  <c r="AK44" i="4"/>
  <c r="AL44" i="4" s="1"/>
  <c r="AI44" i="4"/>
  <c r="I44" i="4"/>
  <c r="AM47" i="3"/>
  <c r="AN47" i="3" s="1"/>
  <c r="AO47" i="3" s="1"/>
  <c r="L48" i="3" s="1"/>
  <c r="AS48" i="3"/>
  <c r="AW48" i="3" s="1"/>
  <c r="G48" i="3"/>
  <c r="AM44" i="4" l="1"/>
  <c r="AN44" i="4" s="1"/>
  <c r="AO44" i="4" s="1"/>
  <c r="L45" i="4" s="1"/>
  <c r="AS45" i="6"/>
  <c r="AW45" i="6" s="1"/>
  <c r="G45" i="6"/>
  <c r="BM45" i="5"/>
  <c r="BL45" i="5"/>
  <c r="BJ45" i="5"/>
  <c r="BI45" i="5"/>
  <c r="BK45" i="5"/>
  <c r="BD45" i="5"/>
  <c r="BC45" i="5"/>
  <c r="BA45" i="5"/>
  <c r="AZ45" i="5"/>
  <c r="BB45" i="5"/>
  <c r="K44" i="4"/>
  <c r="M44" i="4"/>
  <c r="AY48" i="3"/>
  <c r="BH48" i="3"/>
  <c r="BN45" i="5" l="1"/>
  <c r="BO45" i="5" s="1"/>
  <c r="AY45" i="6"/>
  <c r="BH45" i="6"/>
  <c r="BE45" i="5"/>
  <c r="BF45" i="5" s="1"/>
  <c r="N44" i="4"/>
  <c r="BL48" i="3"/>
  <c r="BM48" i="3"/>
  <c r="BJ48" i="3"/>
  <c r="BK48" i="3"/>
  <c r="BI48" i="3"/>
  <c r="BD48" i="3"/>
  <c r="BC48" i="3"/>
  <c r="AZ48" i="3"/>
  <c r="BA48" i="3"/>
  <c r="BB48" i="3"/>
  <c r="O44" i="4" l="1"/>
  <c r="F45" i="4" s="1"/>
  <c r="BM45" i="6"/>
  <c r="BL45" i="6"/>
  <c r="BK45" i="6"/>
  <c r="BI45" i="6"/>
  <c r="BJ45" i="6"/>
  <c r="BD45" i="6"/>
  <c r="BC45" i="6"/>
  <c r="AZ45" i="6"/>
  <c r="BA45" i="6"/>
  <c r="BB45" i="6"/>
  <c r="BP45" i="5"/>
  <c r="BQ45" i="5" s="1"/>
  <c r="BN48" i="3"/>
  <c r="BO48" i="3" s="1"/>
  <c r="BE48" i="3"/>
  <c r="BF48" i="3" s="1"/>
  <c r="AS45" i="4" l="1"/>
  <c r="AW45" i="4" s="1"/>
  <c r="G45" i="4"/>
  <c r="BE45" i="6"/>
  <c r="BF45" i="6" s="1"/>
  <c r="BN45" i="6"/>
  <c r="BO45" i="6" s="1"/>
  <c r="H45" i="5"/>
  <c r="Q45" i="5"/>
  <c r="R45" i="5" s="1"/>
  <c r="AB45" i="5" s="1"/>
  <c r="AC45" i="5" s="1"/>
  <c r="AD45" i="5" s="1"/>
  <c r="AY45" i="4"/>
  <c r="BH45" i="4"/>
  <c r="BP48" i="3"/>
  <c r="BQ48" i="3" s="1"/>
  <c r="BP45" i="6" l="1"/>
  <c r="BQ45" i="6" s="1"/>
  <c r="H45" i="6"/>
  <c r="Q45" i="6"/>
  <c r="R45" i="6" s="1"/>
  <c r="AB45" i="6" s="1"/>
  <c r="AC45" i="6" s="1"/>
  <c r="AD45" i="6" s="1"/>
  <c r="AK45" i="5"/>
  <c r="AL45" i="5" s="1"/>
  <c r="AI45" i="5"/>
  <c r="I45" i="5"/>
  <c r="BM45" i="4"/>
  <c r="BL45" i="4"/>
  <c r="BK45" i="4"/>
  <c r="BJ45" i="4"/>
  <c r="BI45" i="4"/>
  <c r="BD45" i="4"/>
  <c r="BC45" i="4"/>
  <c r="AZ45" i="4"/>
  <c r="BB45" i="4"/>
  <c r="BA45" i="4"/>
  <c r="H48" i="3"/>
  <c r="I48" i="3" s="1"/>
  <c r="M48" i="3" s="1"/>
  <c r="Q48" i="3"/>
  <c r="R48" i="3" s="1"/>
  <c r="AB48" i="3" s="1"/>
  <c r="AC48" i="3" s="1"/>
  <c r="AD48" i="3" s="1"/>
  <c r="AM45" i="5" l="1"/>
  <c r="AN45" i="5" s="1"/>
  <c r="AO45" i="5" s="1"/>
  <c r="L46" i="5" s="1"/>
  <c r="BE45" i="4"/>
  <c r="BF45" i="4" s="1"/>
  <c r="BN45" i="4"/>
  <c r="BO45" i="4" s="1"/>
  <c r="AI45" i="6"/>
  <c r="AK45" i="6"/>
  <c r="AL45" i="6" s="1"/>
  <c r="I45" i="6"/>
  <c r="K45" i="5"/>
  <c r="M45" i="5"/>
  <c r="AI48" i="3"/>
  <c r="AK48" i="3"/>
  <c r="AL48" i="3" s="1"/>
  <c r="K48" i="3"/>
  <c r="BP45" i="4" l="1"/>
  <c r="BQ45" i="4" s="1"/>
  <c r="H45" i="4" s="1"/>
  <c r="K45" i="6"/>
  <c r="M45" i="6"/>
  <c r="AM45" i="6"/>
  <c r="AN45" i="6" s="1"/>
  <c r="AO45" i="6" s="1"/>
  <c r="L46" i="6" s="1"/>
  <c r="N45" i="5"/>
  <c r="O45" i="5" s="1"/>
  <c r="F46" i="5" s="1"/>
  <c r="Q45" i="4"/>
  <c r="R45" i="4" s="1"/>
  <c r="AB45" i="4" s="1"/>
  <c r="AC45" i="4" s="1"/>
  <c r="AD45" i="4" s="1"/>
  <c r="AM48" i="3"/>
  <c r="AN48" i="3" s="1"/>
  <c r="AO48" i="3" s="1"/>
  <c r="L49" i="3" s="1"/>
  <c r="N48" i="3"/>
  <c r="O48" i="3" s="1"/>
  <c r="F49" i="3" s="1"/>
  <c r="N45" i="6" l="1"/>
  <c r="O45" i="6" s="1"/>
  <c r="F46" i="6" s="1"/>
  <c r="AS46" i="6" s="1"/>
  <c r="AW46" i="6" s="1"/>
  <c r="AS46" i="5"/>
  <c r="AW46" i="5" s="1"/>
  <c r="G46" i="5"/>
  <c r="AK45" i="4"/>
  <c r="AL45" i="4" s="1"/>
  <c r="AI45" i="4"/>
  <c r="I45" i="4"/>
  <c r="AS49" i="3"/>
  <c r="AW49" i="3" s="1"/>
  <c r="G49" i="3"/>
  <c r="G46" i="6" l="1"/>
  <c r="AM45" i="4"/>
  <c r="AN45" i="4" s="1"/>
  <c r="AO45" i="4" s="1"/>
  <c r="L46" i="4" s="1"/>
  <c r="AY46" i="6"/>
  <c r="BH46" i="6"/>
  <c r="BH46" i="5"/>
  <c r="AY46" i="5"/>
  <c r="K45" i="4"/>
  <c r="M45" i="4"/>
  <c r="AY49" i="3"/>
  <c r="BH49" i="3"/>
  <c r="BM46" i="6" l="1"/>
  <c r="BL46" i="6"/>
  <c r="BK46" i="6"/>
  <c r="BI46" i="6"/>
  <c r="BJ46" i="6"/>
  <c r="BD46" i="6"/>
  <c r="BC46" i="6"/>
  <c r="BB46" i="6"/>
  <c r="AZ46" i="6"/>
  <c r="BA46" i="6"/>
  <c r="BD46" i="5"/>
  <c r="BC46" i="5"/>
  <c r="BA46" i="5"/>
  <c r="AZ46" i="5"/>
  <c r="BB46" i="5"/>
  <c r="BM46" i="5"/>
  <c r="BL46" i="5"/>
  <c r="BJ46" i="5"/>
  <c r="BI46" i="5"/>
  <c r="BK46" i="5"/>
  <c r="N45" i="4"/>
  <c r="BC49" i="3"/>
  <c r="BD49" i="3"/>
  <c r="BB49" i="3"/>
  <c r="AZ49" i="3"/>
  <c r="BA49" i="3"/>
  <c r="BL49" i="3"/>
  <c r="BM49" i="3"/>
  <c r="BJ49" i="3"/>
  <c r="BK49" i="3"/>
  <c r="BI49" i="3"/>
  <c r="O45" i="4" l="1"/>
  <c r="F46" i="4" s="1"/>
  <c r="BN46" i="6"/>
  <c r="BO46" i="6" s="1"/>
  <c r="BE46" i="5"/>
  <c r="BF46" i="5" s="1"/>
  <c r="BE46" i="6"/>
  <c r="BF46" i="6" s="1"/>
  <c r="BN46" i="5"/>
  <c r="BO46" i="5" s="1"/>
  <c r="BE49" i="3"/>
  <c r="BF49" i="3" s="1"/>
  <c r="BN49" i="3"/>
  <c r="BO49" i="3" s="1"/>
  <c r="AS46" i="4" l="1"/>
  <c r="AW46" i="4" s="1"/>
  <c r="G46" i="4"/>
  <c r="BP46" i="5"/>
  <c r="BQ46" i="5" s="1"/>
  <c r="H46" i="5" s="1"/>
  <c r="BP46" i="6"/>
  <c r="BQ46" i="6" s="1"/>
  <c r="Q46" i="5"/>
  <c r="R46" i="5" s="1"/>
  <c r="AB46" i="5" s="1"/>
  <c r="AC46" i="5" s="1"/>
  <c r="AD46" i="5" s="1"/>
  <c r="AY46" i="4"/>
  <c r="BH46" i="4"/>
  <c r="BP49" i="3"/>
  <c r="BQ49" i="3" s="1"/>
  <c r="H46" i="6" l="1"/>
  <c r="Q46" i="6"/>
  <c r="R46" i="6" s="1"/>
  <c r="AB46" i="6" s="1"/>
  <c r="AC46" i="6" s="1"/>
  <c r="AD46" i="6" s="1"/>
  <c r="AI46" i="5"/>
  <c r="AK46" i="5"/>
  <c r="AL46" i="5" s="1"/>
  <c r="I46" i="5"/>
  <c r="BM46" i="4"/>
  <c r="BL46" i="4"/>
  <c r="BK46" i="4"/>
  <c r="BJ46" i="4"/>
  <c r="BI46" i="4"/>
  <c r="BD46" i="4"/>
  <c r="BC46" i="4"/>
  <c r="AZ46" i="4"/>
  <c r="BB46" i="4"/>
  <c r="BA46" i="4"/>
  <c r="H49" i="3"/>
  <c r="I49" i="3" s="1"/>
  <c r="M49" i="3" s="1"/>
  <c r="Q49" i="3"/>
  <c r="R49" i="3" s="1"/>
  <c r="AB49" i="3" s="1"/>
  <c r="AC49" i="3" s="1"/>
  <c r="AD49" i="3" s="1"/>
  <c r="BE46" i="4" l="1"/>
  <c r="BF46" i="4" s="1"/>
  <c r="BN46" i="4"/>
  <c r="BO46" i="4" s="1"/>
  <c r="BP46" i="4" s="1"/>
  <c r="BQ46" i="4" s="1"/>
  <c r="AI46" i="6"/>
  <c r="AK46" i="6"/>
  <c r="AL46" i="6" s="1"/>
  <c r="I46" i="6"/>
  <c r="K46" i="5"/>
  <c r="M46" i="5"/>
  <c r="AM46" i="5"/>
  <c r="AN46" i="5" s="1"/>
  <c r="AO46" i="5" s="1"/>
  <c r="L47" i="5" s="1"/>
  <c r="K49" i="3"/>
  <c r="N49" i="3" s="1"/>
  <c r="O49" i="3" s="1"/>
  <c r="F50" i="3" s="1"/>
  <c r="AI49" i="3"/>
  <c r="AK49" i="3"/>
  <c r="AL49" i="3" s="1"/>
  <c r="K46" i="6" l="1"/>
  <c r="M46" i="6"/>
  <c r="AM46" i="6"/>
  <c r="AN46" i="6" s="1"/>
  <c r="AO46" i="6" s="1"/>
  <c r="L47" i="6" s="1"/>
  <c r="N46" i="5"/>
  <c r="O46" i="5" s="1"/>
  <c r="F47" i="5" s="1"/>
  <c r="H46" i="4"/>
  <c r="Q46" i="4"/>
  <c r="R46" i="4" s="1"/>
  <c r="AB46" i="4" s="1"/>
  <c r="AC46" i="4" s="1"/>
  <c r="AD46" i="4" s="1"/>
  <c r="AM49" i="3"/>
  <c r="AN49" i="3" s="1"/>
  <c r="AO49" i="3" s="1"/>
  <c r="L50" i="3" s="1"/>
  <c r="AS50" i="3"/>
  <c r="AW50" i="3" s="1"/>
  <c r="G50" i="3"/>
  <c r="N46" i="6" l="1"/>
  <c r="O46" i="6" s="1"/>
  <c r="F47" i="6" s="1"/>
  <c r="AS47" i="5"/>
  <c r="AW47" i="5" s="1"/>
  <c r="G47" i="5"/>
  <c r="AK46" i="4"/>
  <c r="AL46" i="4" s="1"/>
  <c r="AI46" i="4"/>
  <c r="I46" i="4"/>
  <c r="AY50" i="3"/>
  <c r="BH50" i="3"/>
  <c r="AM46" i="4" l="1"/>
  <c r="AN46" i="4" s="1"/>
  <c r="AO46" i="4" s="1"/>
  <c r="L47" i="4" s="1"/>
  <c r="AS47" i="6"/>
  <c r="AW47" i="6" s="1"/>
  <c r="G47" i="6"/>
  <c r="AY47" i="5"/>
  <c r="BH47" i="5"/>
  <c r="K46" i="4"/>
  <c r="M46" i="4"/>
  <c r="BL50" i="3"/>
  <c r="BM50" i="3"/>
  <c r="BK50" i="3"/>
  <c r="BI50" i="3"/>
  <c r="BJ50" i="3"/>
  <c r="BC50" i="3"/>
  <c r="BD50" i="3"/>
  <c r="BA50" i="3"/>
  <c r="AZ50" i="3"/>
  <c r="BB50" i="3"/>
  <c r="AY47" i="6" l="1"/>
  <c r="BH47" i="6"/>
  <c r="BM47" i="5"/>
  <c r="BL47" i="5"/>
  <c r="BJ47" i="5"/>
  <c r="BI47" i="5"/>
  <c r="BK47" i="5"/>
  <c r="BD47" i="5"/>
  <c r="BC47" i="5"/>
  <c r="AZ47" i="5"/>
  <c r="BB47" i="5"/>
  <c r="BA47" i="5"/>
  <c r="N46" i="4"/>
  <c r="BN50" i="3"/>
  <c r="BO50" i="3" s="1"/>
  <c r="BE50" i="3"/>
  <c r="BF50" i="3" s="1"/>
  <c r="O46" i="4" l="1"/>
  <c r="F47" i="4" s="1"/>
  <c r="BE47" i="5"/>
  <c r="BF47" i="5" s="1"/>
  <c r="BM47" i="6"/>
  <c r="BL47" i="6"/>
  <c r="BI47" i="6"/>
  <c r="BJ47" i="6"/>
  <c r="BK47" i="6"/>
  <c r="BD47" i="6"/>
  <c r="BC47" i="6"/>
  <c r="BB47" i="6"/>
  <c r="AZ47" i="6"/>
  <c r="BA47" i="6"/>
  <c r="BN47" i="5"/>
  <c r="BO47" i="5" s="1"/>
  <c r="BP50" i="3"/>
  <c r="BQ50" i="3" s="1"/>
  <c r="G47" i="4" l="1"/>
  <c r="AS47" i="4"/>
  <c r="AW47" i="4" s="1"/>
  <c r="BP47" i="5"/>
  <c r="BQ47" i="5" s="1"/>
  <c r="H47" i="5" s="1"/>
  <c r="BN47" i="6"/>
  <c r="BO47" i="6" s="1"/>
  <c r="BE47" i="6"/>
  <c r="BF47" i="6" s="1"/>
  <c r="AY47" i="4"/>
  <c r="BH47" i="4"/>
  <c r="H50" i="3"/>
  <c r="I50" i="3" s="1"/>
  <c r="M50" i="3" s="1"/>
  <c r="Q50" i="3"/>
  <c r="R50" i="3" s="1"/>
  <c r="AB50" i="3" s="1"/>
  <c r="AC50" i="3" s="1"/>
  <c r="AD50" i="3" s="1"/>
  <c r="Q47" i="5" l="1"/>
  <c r="R47" i="5" s="1"/>
  <c r="AB47" i="5" s="1"/>
  <c r="AC47" i="5" s="1"/>
  <c r="AD47" i="5" s="1"/>
  <c r="AI47" i="5" s="1"/>
  <c r="BP47" i="6"/>
  <c r="BQ47" i="6" s="1"/>
  <c r="I47" i="5"/>
  <c r="BM47" i="4"/>
  <c r="BL47" i="4"/>
  <c r="BK47" i="4"/>
  <c r="BJ47" i="4"/>
  <c r="BI47" i="4"/>
  <c r="BD47" i="4"/>
  <c r="BC47" i="4"/>
  <c r="BB47" i="4"/>
  <c r="BA47" i="4"/>
  <c r="AZ47" i="4"/>
  <c r="AK50" i="3"/>
  <c r="AL50" i="3" s="1"/>
  <c r="AI50" i="3"/>
  <c r="K50" i="3"/>
  <c r="AK47" i="5" l="1"/>
  <c r="AL47" i="5" s="1"/>
  <c r="AM47" i="5" s="1"/>
  <c r="AN47" i="5" s="1"/>
  <c r="AO47" i="5" s="1"/>
  <c r="L48" i="5" s="1"/>
  <c r="BN47" i="4"/>
  <c r="BO47" i="4" s="1"/>
  <c r="H47" i="6"/>
  <c r="Q47" i="6"/>
  <c r="R47" i="6" s="1"/>
  <c r="AB47" i="6" s="1"/>
  <c r="AC47" i="6" s="1"/>
  <c r="AD47" i="6" s="1"/>
  <c r="K47" i="5"/>
  <c r="M47" i="5"/>
  <c r="BE47" i="4"/>
  <c r="BF47" i="4" s="1"/>
  <c r="AM50" i="3"/>
  <c r="AN50" i="3" s="1"/>
  <c r="AO50" i="3" s="1"/>
  <c r="L51" i="3" s="1"/>
  <c r="N50" i="3"/>
  <c r="O50" i="3" s="1"/>
  <c r="F51" i="3" s="1"/>
  <c r="AI47" i="6" l="1"/>
  <c r="AK47" i="6"/>
  <c r="AL47" i="6" s="1"/>
  <c r="I47" i="6"/>
  <c r="N47" i="5"/>
  <c r="O47" i="5" s="1"/>
  <c r="F48" i="5" s="1"/>
  <c r="BP47" i="4"/>
  <c r="BQ47" i="4" s="1"/>
  <c r="AS51" i="3"/>
  <c r="AW51" i="3" s="1"/>
  <c r="G51" i="3"/>
  <c r="K47" i="6" l="1"/>
  <c r="M47" i="6"/>
  <c r="AM47" i="6"/>
  <c r="AN47" i="6" s="1"/>
  <c r="AO47" i="6" s="1"/>
  <c r="L48" i="6" s="1"/>
  <c r="AS48" i="5"/>
  <c r="AW48" i="5" s="1"/>
  <c r="G48" i="5"/>
  <c r="H47" i="4"/>
  <c r="Q47" i="4"/>
  <c r="R47" i="4" s="1"/>
  <c r="AB47" i="4" s="1"/>
  <c r="AC47" i="4" s="1"/>
  <c r="AD47" i="4" s="1"/>
  <c r="AY51" i="3"/>
  <c r="BH51" i="3"/>
  <c r="N47" i="6" l="1"/>
  <c r="O47" i="6" s="1"/>
  <c r="F48" i="6" s="1"/>
  <c r="AS48" i="6" s="1"/>
  <c r="AW48" i="6" s="1"/>
  <c r="AY48" i="5"/>
  <c r="BH48" i="5"/>
  <c r="I47" i="4"/>
  <c r="AK47" i="4"/>
  <c r="AL47" i="4" s="1"/>
  <c r="AI47" i="4"/>
  <c r="BL51" i="3"/>
  <c r="BM51" i="3"/>
  <c r="BK51" i="3"/>
  <c r="BI51" i="3"/>
  <c r="BJ51" i="3"/>
  <c r="BC51" i="3"/>
  <c r="BD51" i="3"/>
  <c r="BA51" i="3"/>
  <c r="BB51" i="3"/>
  <c r="AZ51" i="3"/>
  <c r="AM47" i="4" l="1"/>
  <c r="AN47" i="4" s="1"/>
  <c r="AO47" i="4" s="1"/>
  <c r="L48" i="4" s="1"/>
  <c r="G48" i="6"/>
  <c r="AY48" i="6"/>
  <c r="BH48" i="6"/>
  <c r="BM48" i="5"/>
  <c r="BL48" i="5"/>
  <c r="BJ48" i="5"/>
  <c r="BK48" i="5"/>
  <c r="BI48" i="5"/>
  <c r="BD48" i="5"/>
  <c r="BC48" i="5"/>
  <c r="BA48" i="5"/>
  <c r="AZ48" i="5"/>
  <c r="BB48" i="5"/>
  <c r="K47" i="4"/>
  <c r="M47" i="4"/>
  <c r="BN51" i="3"/>
  <c r="BO51" i="3" s="1"/>
  <c r="BE51" i="3"/>
  <c r="BF51" i="3" s="1"/>
  <c r="BN48" i="5" l="1"/>
  <c r="BO48" i="5" s="1"/>
  <c r="BD48" i="6"/>
  <c r="BC48" i="6"/>
  <c r="BA48" i="6"/>
  <c r="AZ48" i="6"/>
  <c r="BB48" i="6"/>
  <c r="BM48" i="6"/>
  <c r="BL48" i="6"/>
  <c r="BI48" i="6"/>
  <c r="BJ48" i="6"/>
  <c r="BK48" i="6"/>
  <c r="BE48" i="5"/>
  <c r="BF48" i="5" s="1"/>
  <c r="N47" i="4"/>
  <c r="BP51" i="3"/>
  <c r="BQ51" i="3" s="1"/>
  <c r="O47" i="4" l="1"/>
  <c r="F48" i="4" s="1"/>
  <c r="BN48" i="6"/>
  <c r="BO48" i="6" s="1"/>
  <c r="BE48" i="6"/>
  <c r="BF48" i="6" s="1"/>
  <c r="BP48" i="5"/>
  <c r="BQ48" i="5" s="1"/>
  <c r="H51" i="3"/>
  <c r="I51" i="3" s="1"/>
  <c r="M51" i="3" s="1"/>
  <c r="Q51" i="3"/>
  <c r="R51" i="3" s="1"/>
  <c r="AB51" i="3" s="1"/>
  <c r="AC51" i="3" s="1"/>
  <c r="AD51" i="3" s="1"/>
  <c r="AS48" i="4" l="1"/>
  <c r="AW48" i="4" s="1"/>
  <c r="G48" i="4"/>
  <c r="BP48" i="6"/>
  <c r="BQ48" i="6" s="1"/>
  <c r="H48" i="5"/>
  <c r="Q48" i="5"/>
  <c r="R48" i="5" s="1"/>
  <c r="AB48" i="5" s="1"/>
  <c r="AC48" i="5" s="1"/>
  <c r="AD48" i="5" s="1"/>
  <c r="BH48" i="4"/>
  <c r="AY48" i="4"/>
  <c r="AK51" i="3"/>
  <c r="AL51" i="3" s="1"/>
  <c r="AI51" i="3"/>
  <c r="K51" i="3"/>
  <c r="H48" i="6" l="1"/>
  <c r="Q48" i="6"/>
  <c r="R48" i="6" s="1"/>
  <c r="AB48" i="6" s="1"/>
  <c r="AC48" i="6" s="1"/>
  <c r="AD48" i="6" s="1"/>
  <c r="AK48" i="5"/>
  <c r="AL48" i="5" s="1"/>
  <c r="AI48" i="5"/>
  <c r="I48" i="5"/>
  <c r="BD48" i="4"/>
  <c r="BC48" i="4"/>
  <c r="BA48" i="4"/>
  <c r="AZ48" i="4"/>
  <c r="BB48" i="4"/>
  <c r="BM48" i="4"/>
  <c r="BL48" i="4"/>
  <c r="BJ48" i="4"/>
  <c r="BI48" i="4"/>
  <c r="BK48" i="4"/>
  <c r="AM51" i="3"/>
  <c r="AN51" i="3" s="1"/>
  <c r="AO51" i="3" s="1"/>
  <c r="L52" i="3" s="1"/>
  <c r="N51" i="3"/>
  <c r="O51" i="3" s="1"/>
  <c r="F52" i="3" s="1"/>
  <c r="AM48" i="5" l="1"/>
  <c r="AN48" i="5" s="1"/>
  <c r="AO48" i="5" s="1"/>
  <c r="L49" i="5" s="1"/>
  <c r="BN48" i="4"/>
  <c r="BO48" i="4" s="1"/>
  <c r="AK48" i="6"/>
  <c r="AL48" i="6" s="1"/>
  <c r="AI48" i="6"/>
  <c r="I48" i="6"/>
  <c r="K48" i="5"/>
  <c r="M48" i="5"/>
  <c r="BE48" i="4"/>
  <c r="BF48" i="4" s="1"/>
  <c r="AS52" i="3"/>
  <c r="AW52" i="3" s="1"/>
  <c r="G52" i="3"/>
  <c r="AM48" i="6" l="1"/>
  <c r="AN48" i="6" s="1"/>
  <c r="AO48" i="6" s="1"/>
  <c r="L49" i="6" s="1"/>
  <c r="K48" i="6"/>
  <c r="M48" i="6"/>
  <c r="N48" i="5"/>
  <c r="O48" i="5" s="1"/>
  <c r="F49" i="5" s="1"/>
  <c r="BP48" i="4"/>
  <c r="BQ48" i="4" s="1"/>
  <c r="AY52" i="3"/>
  <c r="BH52" i="3"/>
  <c r="N48" i="6" l="1"/>
  <c r="O48" i="6" s="1"/>
  <c r="F49" i="6" s="1"/>
  <c r="AS49" i="6" s="1"/>
  <c r="AW49" i="6" s="1"/>
  <c r="AS49" i="5"/>
  <c r="AW49" i="5" s="1"/>
  <c r="G49" i="5"/>
  <c r="H48" i="4"/>
  <c r="Q48" i="4"/>
  <c r="R48" i="4" s="1"/>
  <c r="AB48" i="4" s="1"/>
  <c r="AC48" i="4" s="1"/>
  <c r="AD48" i="4" s="1"/>
  <c r="BC52" i="3"/>
  <c r="BD52" i="3"/>
  <c r="BA52" i="3"/>
  <c r="BB52" i="3"/>
  <c r="AZ52" i="3"/>
  <c r="BL52" i="3"/>
  <c r="BM52" i="3"/>
  <c r="BK52" i="3"/>
  <c r="BJ52" i="3"/>
  <c r="BI52" i="3"/>
  <c r="G49" i="6" l="1"/>
  <c r="AY49" i="6"/>
  <c r="BH49" i="6"/>
  <c r="BH49" i="5"/>
  <c r="AY49" i="5"/>
  <c r="AK48" i="4"/>
  <c r="AL48" i="4" s="1"/>
  <c r="AI48" i="4"/>
  <c r="I48" i="4"/>
  <c r="BE52" i="3"/>
  <c r="BF52" i="3" s="1"/>
  <c r="BN52" i="3"/>
  <c r="BO52" i="3" s="1"/>
  <c r="AM48" i="4" l="1"/>
  <c r="AN48" i="4" s="1"/>
  <c r="AO48" i="4" s="1"/>
  <c r="L49" i="4" s="1"/>
  <c r="BM49" i="6"/>
  <c r="BL49" i="6"/>
  <c r="BI49" i="6"/>
  <c r="BJ49" i="6"/>
  <c r="BK49" i="6"/>
  <c r="BD49" i="6"/>
  <c r="BC49" i="6"/>
  <c r="BA49" i="6"/>
  <c r="AZ49" i="6"/>
  <c r="BB49" i="6"/>
  <c r="BD49" i="5"/>
  <c r="BC49" i="5"/>
  <c r="BB49" i="5"/>
  <c r="BA49" i="5"/>
  <c r="AZ49" i="5"/>
  <c r="BM49" i="5"/>
  <c r="BL49" i="5"/>
  <c r="BK49" i="5"/>
  <c r="BJ49" i="5"/>
  <c r="BI49" i="5"/>
  <c r="K48" i="4"/>
  <c r="M48" i="4"/>
  <c r="BP52" i="3"/>
  <c r="BQ52" i="3" s="1"/>
  <c r="H52" i="3" s="1"/>
  <c r="I52" i="3" s="1"/>
  <c r="M52" i="3" s="1"/>
  <c r="BE49" i="5" l="1"/>
  <c r="BF49" i="5" s="1"/>
  <c r="BN49" i="6"/>
  <c r="BO49" i="6" s="1"/>
  <c r="BE49" i="6"/>
  <c r="BF49" i="6" s="1"/>
  <c r="BN49" i="5"/>
  <c r="BO49" i="5" s="1"/>
  <c r="BP49" i="5" s="1"/>
  <c r="BQ49" i="5" s="1"/>
  <c r="N48" i="4"/>
  <c r="Q52" i="3"/>
  <c r="R52" i="3" s="1"/>
  <c r="AB52" i="3" s="1"/>
  <c r="AC52" i="3" s="1"/>
  <c r="AD52" i="3" s="1"/>
  <c r="AK52" i="3" s="1"/>
  <c r="AL52" i="3" s="1"/>
  <c r="K52" i="3"/>
  <c r="O48" i="4" l="1"/>
  <c r="F49" i="4" s="1"/>
  <c r="BP49" i="6"/>
  <c r="BQ49" i="6" s="1"/>
  <c r="H49" i="5"/>
  <c r="Q49" i="5"/>
  <c r="R49" i="5" s="1"/>
  <c r="AB49" i="5" s="1"/>
  <c r="AC49" i="5" s="1"/>
  <c r="AD49" i="5" s="1"/>
  <c r="AI52" i="3"/>
  <c r="AM52" i="3" s="1"/>
  <c r="AN52" i="3" s="1"/>
  <c r="AO52" i="3" s="1"/>
  <c r="L53" i="3" s="1"/>
  <c r="N52" i="3"/>
  <c r="O52" i="3" s="1"/>
  <c r="F53" i="3" s="1"/>
  <c r="AS49" i="4" l="1"/>
  <c r="AW49" i="4" s="1"/>
  <c r="G49" i="4"/>
  <c r="H49" i="6"/>
  <c r="Q49" i="6"/>
  <c r="R49" i="6" s="1"/>
  <c r="AB49" i="6" s="1"/>
  <c r="AC49" i="6" s="1"/>
  <c r="AD49" i="6" s="1"/>
  <c r="AI49" i="5"/>
  <c r="AK49" i="5"/>
  <c r="AL49" i="5" s="1"/>
  <c r="I49" i="5"/>
  <c r="AY49" i="4"/>
  <c r="BH49" i="4"/>
  <c r="AS53" i="3"/>
  <c r="AW53" i="3" s="1"/>
  <c r="G53" i="3"/>
  <c r="AI49" i="6" l="1"/>
  <c r="AK49" i="6"/>
  <c r="AL49" i="6" s="1"/>
  <c r="I49" i="6"/>
  <c r="K49" i="5"/>
  <c r="M49" i="5"/>
  <c r="AM49" i="5"/>
  <c r="AN49" i="5" s="1"/>
  <c r="AO49" i="5" s="1"/>
  <c r="L50" i="5" s="1"/>
  <c r="BM49" i="4"/>
  <c r="BL49" i="4"/>
  <c r="BJ49" i="4"/>
  <c r="BI49" i="4"/>
  <c r="BK49" i="4"/>
  <c r="BD49" i="4"/>
  <c r="BC49" i="4"/>
  <c r="BA49" i="4"/>
  <c r="AZ49" i="4"/>
  <c r="BB49" i="4"/>
  <c r="AY53" i="3"/>
  <c r="BH53" i="3"/>
  <c r="AM49" i="6" l="1"/>
  <c r="AN49" i="6" s="1"/>
  <c r="AO49" i="6" s="1"/>
  <c r="L50" i="6" s="1"/>
  <c r="BE49" i="4"/>
  <c r="BF49" i="4" s="1"/>
  <c r="K49" i="6"/>
  <c r="M49" i="6"/>
  <c r="N49" i="5"/>
  <c r="O49" i="5" s="1"/>
  <c r="F50" i="5" s="1"/>
  <c r="BN49" i="4"/>
  <c r="BO49" i="4" s="1"/>
  <c r="BP49" i="4" s="1"/>
  <c r="BQ49" i="4" s="1"/>
  <c r="BL53" i="3"/>
  <c r="BM53" i="3"/>
  <c r="BK53" i="3"/>
  <c r="BI53" i="3"/>
  <c r="BJ53" i="3"/>
  <c r="BC53" i="3"/>
  <c r="BD53" i="3"/>
  <c r="AZ53" i="3"/>
  <c r="BA53" i="3"/>
  <c r="BB53" i="3"/>
  <c r="N49" i="6" l="1"/>
  <c r="O49" i="6" s="1"/>
  <c r="F50" i="6" s="1"/>
  <c r="G50" i="6" s="1"/>
  <c r="AS50" i="5"/>
  <c r="AW50" i="5" s="1"/>
  <c r="G50" i="5"/>
  <c r="H49" i="4"/>
  <c r="Q49" i="4"/>
  <c r="R49" i="4" s="1"/>
  <c r="AB49" i="4" s="1"/>
  <c r="AC49" i="4" s="1"/>
  <c r="AD49" i="4" s="1"/>
  <c r="BN53" i="3"/>
  <c r="BO53" i="3" s="1"/>
  <c r="BE53" i="3"/>
  <c r="BF53" i="3" s="1"/>
  <c r="AS50" i="6" l="1"/>
  <c r="AW50" i="6" s="1"/>
  <c r="AY50" i="6"/>
  <c r="BH50" i="6"/>
  <c r="BH50" i="5"/>
  <c r="AY50" i="5"/>
  <c r="AK49" i="4"/>
  <c r="AL49" i="4" s="1"/>
  <c r="AI49" i="4"/>
  <c r="I49" i="4"/>
  <c r="BP53" i="3"/>
  <c r="BQ53" i="3" s="1"/>
  <c r="AM49" i="4" l="1"/>
  <c r="AN49" i="4" s="1"/>
  <c r="AO49" i="4" s="1"/>
  <c r="L50" i="4" s="1"/>
  <c r="BM50" i="6"/>
  <c r="BL50" i="6"/>
  <c r="BI50" i="6"/>
  <c r="BK50" i="6"/>
  <c r="BJ50" i="6"/>
  <c r="BD50" i="6"/>
  <c r="BC50" i="6"/>
  <c r="AZ50" i="6"/>
  <c r="BB50" i="6"/>
  <c r="BA50" i="6"/>
  <c r="BD50" i="5"/>
  <c r="BC50" i="5"/>
  <c r="AZ50" i="5"/>
  <c r="BA50" i="5"/>
  <c r="BB50" i="5"/>
  <c r="BM50" i="5"/>
  <c r="BL50" i="5"/>
  <c r="BI50" i="5"/>
  <c r="BK50" i="5"/>
  <c r="BJ50" i="5"/>
  <c r="K49" i="4"/>
  <c r="M49" i="4"/>
  <c r="H53" i="3"/>
  <c r="I53" i="3" s="1"/>
  <c r="M53" i="3" s="1"/>
  <c r="Q53" i="3"/>
  <c r="R53" i="3" s="1"/>
  <c r="AB53" i="3" s="1"/>
  <c r="AC53" i="3" s="1"/>
  <c r="AD53" i="3" s="1"/>
  <c r="BE50" i="5" l="1"/>
  <c r="BF50" i="5" s="1"/>
  <c r="BE50" i="6"/>
  <c r="BF50" i="6" s="1"/>
  <c r="BN50" i="5"/>
  <c r="BO50" i="5" s="1"/>
  <c r="BP50" i="5" s="1"/>
  <c r="BQ50" i="5" s="1"/>
  <c r="BN50" i="6"/>
  <c r="BO50" i="6" s="1"/>
  <c r="BP50" i="6" s="1"/>
  <c r="BQ50" i="6" s="1"/>
  <c r="N49" i="4"/>
  <c r="AI53" i="3"/>
  <c r="AK53" i="3"/>
  <c r="AL53" i="3" s="1"/>
  <c r="K53" i="3"/>
  <c r="O49" i="4" l="1"/>
  <c r="F50" i="4" s="1"/>
  <c r="H50" i="6"/>
  <c r="Q50" i="6"/>
  <c r="R50" i="6" s="1"/>
  <c r="AB50" i="6" s="1"/>
  <c r="AC50" i="6" s="1"/>
  <c r="AD50" i="6" s="1"/>
  <c r="H50" i="5"/>
  <c r="Q50" i="5"/>
  <c r="R50" i="5" s="1"/>
  <c r="AB50" i="5" s="1"/>
  <c r="AC50" i="5" s="1"/>
  <c r="AD50" i="5" s="1"/>
  <c r="AM53" i="3"/>
  <c r="AN53" i="3" s="1"/>
  <c r="AO53" i="3" s="1"/>
  <c r="L54" i="3" s="1"/>
  <c r="N53" i="3"/>
  <c r="O53" i="3" s="1"/>
  <c r="F54" i="3" s="1"/>
  <c r="AS50" i="4" l="1"/>
  <c r="AW50" i="4" s="1"/>
  <c r="G50" i="4"/>
  <c r="AK50" i="6"/>
  <c r="AL50" i="6" s="1"/>
  <c r="AI50" i="6"/>
  <c r="I50" i="6"/>
  <c r="AK50" i="5"/>
  <c r="AL50" i="5" s="1"/>
  <c r="AI50" i="5"/>
  <c r="I50" i="5"/>
  <c r="BH50" i="4"/>
  <c r="AY50" i="4"/>
  <c r="AS54" i="3"/>
  <c r="AW54" i="3" s="1"/>
  <c r="G54" i="3"/>
  <c r="AM50" i="6" l="1"/>
  <c r="AN50" i="6" s="1"/>
  <c r="AO50" i="6" s="1"/>
  <c r="L51" i="6" s="1"/>
  <c r="AM50" i="5"/>
  <c r="AN50" i="5" s="1"/>
  <c r="AO50" i="5" s="1"/>
  <c r="L51" i="5" s="1"/>
  <c r="K50" i="6"/>
  <c r="M50" i="6"/>
  <c r="K50" i="5"/>
  <c r="M50" i="5"/>
  <c r="BD50" i="4"/>
  <c r="BC50" i="4"/>
  <c r="BB50" i="4"/>
  <c r="BA50" i="4"/>
  <c r="AZ50" i="4"/>
  <c r="BM50" i="4"/>
  <c r="BL50" i="4"/>
  <c r="BK50" i="4"/>
  <c r="BJ50" i="4"/>
  <c r="BI50" i="4"/>
  <c r="AY54" i="3"/>
  <c r="BH54" i="3"/>
  <c r="BE50" i="4" l="1"/>
  <c r="BF50" i="4" s="1"/>
  <c r="N50" i="6"/>
  <c r="O50" i="6" s="1"/>
  <c r="F51" i="6" s="1"/>
  <c r="N50" i="5"/>
  <c r="O50" i="5" s="1"/>
  <c r="F51" i="5" s="1"/>
  <c r="BN50" i="4"/>
  <c r="BO50" i="4" s="1"/>
  <c r="BP50" i="4" s="1"/>
  <c r="BQ50" i="4" s="1"/>
  <c r="BL54" i="3"/>
  <c r="BM54" i="3"/>
  <c r="BJ54" i="3"/>
  <c r="BK54" i="3"/>
  <c r="BI54" i="3"/>
  <c r="BC54" i="3"/>
  <c r="BD54" i="3"/>
  <c r="BB54" i="3"/>
  <c r="BA54" i="3"/>
  <c r="AZ54" i="3"/>
  <c r="AS51" i="6" l="1"/>
  <c r="AW51" i="6" s="1"/>
  <c r="G51" i="6"/>
  <c r="AS51" i="5"/>
  <c r="AW51" i="5" s="1"/>
  <c r="G51" i="5"/>
  <c r="H50" i="4"/>
  <c r="Q50" i="4"/>
  <c r="R50" i="4" s="1"/>
  <c r="AB50" i="4" s="1"/>
  <c r="AC50" i="4" s="1"/>
  <c r="AD50" i="4" s="1"/>
  <c r="BN54" i="3"/>
  <c r="BO54" i="3" s="1"/>
  <c r="BE54" i="3"/>
  <c r="BF54" i="3" s="1"/>
  <c r="BH51" i="6" l="1"/>
  <c r="AY51" i="6"/>
  <c r="AY51" i="5"/>
  <c r="BH51" i="5"/>
  <c r="AK50" i="4"/>
  <c r="AL50" i="4" s="1"/>
  <c r="AI50" i="4"/>
  <c r="I50" i="4"/>
  <c r="BP54" i="3"/>
  <c r="BQ54" i="3" s="1"/>
  <c r="AM50" i="4" l="1"/>
  <c r="AN50" i="4" s="1"/>
  <c r="AO50" i="4" s="1"/>
  <c r="L51" i="4" s="1"/>
  <c r="BD51" i="6"/>
  <c r="BC51" i="6"/>
  <c r="AZ51" i="6"/>
  <c r="BB51" i="6"/>
  <c r="BA51" i="6"/>
  <c r="BM51" i="6"/>
  <c r="BL51" i="6"/>
  <c r="BK51" i="6"/>
  <c r="BJ51" i="6"/>
  <c r="BI51" i="6"/>
  <c r="BM51" i="5"/>
  <c r="BL51" i="5"/>
  <c r="BK51" i="5"/>
  <c r="BJ51" i="5"/>
  <c r="BI51" i="5"/>
  <c r="BD51" i="5"/>
  <c r="BC51" i="5"/>
  <c r="AZ51" i="5"/>
  <c r="BB51" i="5"/>
  <c r="BA51" i="5"/>
  <c r="K50" i="4"/>
  <c r="M50" i="4"/>
  <c r="H54" i="3"/>
  <c r="I54" i="3" s="1"/>
  <c r="M54" i="3" s="1"/>
  <c r="Q54" i="3"/>
  <c r="R54" i="3" s="1"/>
  <c r="AB54" i="3" s="1"/>
  <c r="AC54" i="3" s="1"/>
  <c r="AD54" i="3" s="1"/>
  <c r="BE51" i="5" l="1"/>
  <c r="BF51" i="5" s="1"/>
  <c r="BN51" i="5"/>
  <c r="BO51" i="5" s="1"/>
  <c r="BE51" i="6"/>
  <c r="BF51" i="6" s="1"/>
  <c r="BN51" i="6"/>
  <c r="BO51" i="6" s="1"/>
  <c r="BP51" i="6" s="1"/>
  <c r="N50" i="4"/>
  <c r="AK54" i="3"/>
  <c r="AL54" i="3" s="1"/>
  <c r="AI54" i="3"/>
  <c r="K54" i="3"/>
  <c r="O50" i="4" l="1"/>
  <c r="F51" i="4" s="1"/>
  <c r="BP51" i="5"/>
  <c r="BQ51" i="5" s="1"/>
  <c r="H51" i="5" s="1"/>
  <c r="BQ51" i="6"/>
  <c r="AM54" i="3"/>
  <c r="AN54" i="3" s="1"/>
  <c r="AO54" i="3" s="1"/>
  <c r="L55" i="3" s="1"/>
  <c r="N54" i="3"/>
  <c r="O54" i="3" s="1"/>
  <c r="F55" i="3" s="1"/>
  <c r="AS51" i="4" l="1"/>
  <c r="AW51" i="4" s="1"/>
  <c r="G51" i="4"/>
  <c r="Q51" i="5"/>
  <c r="R51" i="5" s="1"/>
  <c r="AB51" i="5" s="1"/>
  <c r="AC51" i="5" s="1"/>
  <c r="AD51" i="5" s="1"/>
  <c r="AI51" i="5" s="1"/>
  <c r="H51" i="6"/>
  <c r="Q51" i="6"/>
  <c r="R51" i="6" s="1"/>
  <c r="AB51" i="6" s="1"/>
  <c r="AC51" i="6" s="1"/>
  <c r="AD51" i="6" s="1"/>
  <c r="AK51" i="5"/>
  <c r="AL51" i="5" s="1"/>
  <c r="I51" i="5"/>
  <c r="AY51" i="4"/>
  <c r="BH51" i="4"/>
  <c r="AS55" i="3"/>
  <c r="AW55" i="3" s="1"/>
  <c r="G55" i="3"/>
  <c r="AK51" i="6" l="1"/>
  <c r="AL51" i="6" s="1"/>
  <c r="AI51" i="6"/>
  <c r="I51" i="6"/>
  <c r="K51" i="5"/>
  <c r="M51" i="5"/>
  <c r="AM51" i="5"/>
  <c r="AN51" i="5" s="1"/>
  <c r="AO51" i="5" s="1"/>
  <c r="L52" i="5" s="1"/>
  <c r="BM51" i="4"/>
  <c r="BL51" i="4"/>
  <c r="BJ51" i="4"/>
  <c r="BI51" i="4"/>
  <c r="BK51" i="4"/>
  <c r="BD51" i="4"/>
  <c r="BC51" i="4"/>
  <c r="BA51" i="4"/>
  <c r="AZ51" i="4"/>
  <c r="BB51" i="4"/>
  <c r="AY55" i="3"/>
  <c r="BH55" i="3"/>
  <c r="AM51" i="6" l="1"/>
  <c r="AN51" i="6" s="1"/>
  <c r="AO51" i="6" s="1"/>
  <c r="L52" i="6" s="1"/>
  <c r="K51" i="6"/>
  <c r="M51" i="6"/>
  <c r="N51" i="5"/>
  <c r="O51" i="5" s="1"/>
  <c r="F52" i="5" s="1"/>
  <c r="BN51" i="4"/>
  <c r="BO51" i="4" s="1"/>
  <c r="BE51" i="4"/>
  <c r="BF51" i="4" s="1"/>
  <c r="BM55" i="3"/>
  <c r="BL55" i="3"/>
  <c r="BK55" i="3"/>
  <c r="BI55" i="3"/>
  <c r="BJ55" i="3"/>
  <c r="BC55" i="3"/>
  <c r="BD55" i="3"/>
  <c r="BB55" i="3"/>
  <c r="AZ55" i="3"/>
  <c r="BA55" i="3"/>
  <c r="N51" i="6" l="1"/>
  <c r="O51" i="6" s="1"/>
  <c r="F52" i="6" s="1"/>
  <c r="AS52" i="5"/>
  <c r="AW52" i="5" s="1"/>
  <c r="G52" i="5"/>
  <c r="BP51" i="4"/>
  <c r="BQ51" i="4" s="1"/>
  <c r="BN55" i="3"/>
  <c r="BO55" i="3" s="1"/>
  <c r="BE55" i="3"/>
  <c r="BF55" i="3" s="1"/>
  <c r="AS52" i="6" l="1"/>
  <c r="AW52" i="6" s="1"/>
  <c r="G52" i="6"/>
  <c r="BH52" i="5"/>
  <c r="AY52" i="5"/>
  <c r="H51" i="4"/>
  <c r="Q51" i="4"/>
  <c r="R51" i="4" s="1"/>
  <c r="AB51" i="4" s="1"/>
  <c r="AC51" i="4" s="1"/>
  <c r="AD51" i="4" s="1"/>
  <c r="BP55" i="3"/>
  <c r="BQ55" i="3" s="1"/>
  <c r="BH52" i="6" l="1"/>
  <c r="AY52" i="6"/>
  <c r="BD52" i="5"/>
  <c r="BC52" i="5"/>
  <c r="AZ52" i="5"/>
  <c r="BB52" i="5"/>
  <c r="BA52" i="5"/>
  <c r="BM52" i="5"/>
  <c r="BL52" i="5"/>
  <c r="BI52" i="5"/>
  <c r="BK52" i="5"/>
  <c r="BJ52" i="5"/>
  <c r="AK51" i="4"/>
  <c r="AL51" i="4" s="1"/>
  <c r="AI51" i="4"/>
  <c r="I51" i="4"/>
  <c r="H55" i="3"/>
  <c r="I55" i="3" s="1"/>
  <c r="M55" i="3" s="1"/>
  <c r="Q55" i="3"/>
  <c r="R55" i="3" s="1"/>
  <c r="AB55" i="3" s="1"/>
  <c r="AC55" i="3" s="1"/>
  <c r="AD55" i="3" s="1"/>
  <c r="BE52" i="5" l="1"/>
  <c r="BF52" i="5" s="1"/>
  <c r="BN52" i="5"/>
  <c r="BO52" i="5" s="1"/>
  <c r="BP52" i="5" s="1"/>
  <c r="BQ52" i="5" s="1"/>
  <c r="AM51" i="4"/>
  <c r="AN51" i="4" s="1"/>
  <c r="AO51" i="4" s="1"/>
  <c r="L52" i="4" s="1"/>
  <c r="BD52" i="6"/>
  <c r="BC52" i="6"/>
  <c r="BB52" i="6"/>
  <c r="BA52" i="6"/>
  <c r="AZ52" i="6"/>
  <c r="BM52" i="6"/>
  <c r="BL52" i="6"/>
  <c r="BI52" i="6"/>
  <c r="BK52" i="6"/>
  <c r="BJ52" i="6"/>
  <c r="K51" i="4"/>
  <c r="M51" i="4"/>
  <c r="AK55" i="3"/>
  <c r="AL55" i="3" s="1"/>
  <c r="AI55" i="3"/>
  <c r="K55" i="3"/>
  <c r="BN52" i="6" l="1"/>
  <c r="BO52" i="6" s="1"/>
  <c r="BE52" i="6"/>
  <c r="BF52" i="6" s="1"/>
  <c r="H52" i="5"/>
  <c r="Q52" i="5"/>
  <c r="R52" i="5" s="1"/>
  <c r="AB52" i="5" s="1"/>
  <c r="AC52" i="5" s="1"/>
  <c r="AD52" i="5" s="1"/>
  <c r="N51" i="4"/>
  <c r="AM55" i="3"/>
  <c r="AN55" i="3" s="1"/>
  <c r="AO55" i="3" s="1"/>
  <c r="L56" i="3" s="1"/>
  <c r="N55" i="3"/>
  <c r="O55" i="3" s="1"/>
  <c r="F56" i="3" s="1"/>
  <c r="F52" i="4" l="1"/>
  <c r="AS52" i="4" s="1"/>
  <c r="AW52" i="4" s="1"/>
  <c r="O51" i="4"/>
  <c r="BP52" i="6"/>
  <c r="BQ52" i="6" s="1"/>
  <c r="H52" i="6" s="1"/>
  <c r="Q52" i="6"/>
  <c r="R52" i="6" s="1"/>
  <c r="AB52" i="6" s="1"/>
  <c r="AC52" i="6" s="1"/>
  <c r="AD52" i="6" s="1"/>
  <c r="AK52" i="5"/>
  <c r="AL52" i="5" s="1"/>
  <c r="AI52" i="5"/>
  <c r="I52" i="5"/>
  <c r="G52" i="4"/>
  <c r="G56" i="3"/>
  <c r="AS56" i="3"/>
  <c r="AW56" i="3" s="1"/>
  <c r="BH56" i="3" s="1"/>
  <c r="AM52" i="5" l="1"/>
  <c r="AN52" i="5" s="1"/>
  <c r="AO52" i="5" s="1"/>
  <c r="L53" i="5" s="1"/>
  <c r="AK52" i="6"/>
  <c r="AL52" i="6" s="1"/>
  <c r="AI52" i="6"/>
  <c r="I52" i="6"/>
  <c r="K52" i="5"/>
  <c r="M52" i="5"/>
  <c r="BH52" i="4"/>
  <c r="AY52" i="4"/>
  <c r="AY56" i="3"/>
  <c r="BB56" i="3" s="1"/>
  <c r="BL56" i="3"/>
  <c r="BM56" i="3"/>
  <c r="BJ56" i="3"/>
  <c r="BK56" i="3"/>
  <c r="BI56" i="3"/>
  <c r="AM52" i="6" l="1"/>
  <c r="AN52" i="6" s="1"/>
  <c r="AO52" i="6" s="1"/>
  <c r="L53" i="6" s="1"/>
  <c r="K52" i="6"/>
  <c r="M52" i="6"/>
  <c r="N52" i="5"/>
  <c r="O52" i="5" s="1"/>
  <c r="F53" i="5" s="1"/>
  <c r="BD52" i="4"/>
  <c r="BC52" i="4"/>
  <c r="BB52" i="4"/>
  <c r="BA52" i="4"/>
  <c r="AZ52" i="4"/>
  <c r="BM52" i="4"/>
  <c r="BL52" i="4"/>
  <c r="BJ52" i="4"/>
  <c r="BK52" i="4"/>
  <c r="BI52" i="4"/>
  <c r="BA56" i="3"/>
  <c r="BD56" i="3"/>
  <c r="AZ56" i="3"/>
  <c r="BC56" i="3"/>
  <c r="BN56" i="3"/>
  <c r="BO56" i="3" s="1"/>
  <c r="BE52" i="4" l="1"/>
  <c r="BF52" i="4" s="1"/>
  <c r="N52" i="6"/>
  <c r="O52" i="6" s="1"/>
  <c r="F53" i="6" s="1"/>
  <c r="AS53" i="5"/>
  <c r="AW53" i="5" s="1"/>
  <c r="G53" i="5"/>
  <c r="BN52" i="4"/>
  <c r="BO52" i="4" s="1"/>
  <c r="BE56" i="3"/>
  <c r="BF56" i="3" s="1"/>
  <c r="BP56" i="3" s="1"/>
  <c r="BQ56" i="3" s="1"/>
  <c r="BP52" i="4" l="1"/>
  <c r="BQ52" i="4" s="1"/>
  <c r="H52" i="4" s="1"/>
  <c r="AS53" i="6"/>
  <c r="AW53" i="6" s="1"/>
  <c r="G53" i="6"/>
  <c r="BH53" i="5"/>
  <c r="AY53" i="5"/>
  <c r="H56" i="3"/>
  <c r="I56" i="3" s="1"/>
  <c r="M56" i="3" s="1"/>
  <c r="Q56" i="3"/>
  <c r="R56" i="3" s="1"/>
  <c r="AB56" i="3" s="1"/>
  <c r="AC56" i="3" s="1"/>
  <c r="AD56" i="3" s="1"/>
  <c r="Q52" i="4" l="1"/>
  <c r="R52" i="4" s="1"/>
  <c r="AB52" i="4" s="1"/>
  <c r="AC52" i="4" s="1"/>
  <c r="AD52" i="4" s="1"/>
  <c r="AK52" i="4" s="1"/>
  <c r="AL52" i="4" s="1"/>
  <c r="BH53" i="6"/>
  <c r="AY53" i="6"/>
  <c r="BD53" i="5"/>
  <c r="BC53" i="5"/>
  <c r="BA53" i="5"/>
  <c r="BB53" i="5"/>
  <c r="AZ53" i="5"/>
  <c r="BM53" i="5"/>
  <c r="BL53" i="5"/>
  <c r="BK53" i="5"/>
  <c r="BJ53" i="5"/>
  <c r="BI53" i="5"/>
  <c r="I52" i="4"/>
  <c r="K56" i="3"/>
  <c r="N56" i="3" s="1"/>
  <c r="O56" i="3" s="1"/>
  <c r="F57" i="3" s="1"/>
  <c r="AK56" i="3"/>
  <c r="AL56" i="3" s="1"/>
  <c r="AI56" i="3"/>
  <c r="AI52" i="4" l="1"/>
  <c r="BE53" i="5"/>
  <c r="BF53" i="5" s="1"/>
  <c r="BD53" i="6"/>
  <c r="BC53" i="6"/>
  <c r="BB53" i="6"/>
  <c r="BA53" i="6"/>
  <c r="AZ53" i="6"/>
  <c r="BM53" i="6"/>
  <c r="BL53" i="6"/>
  <c r="BJ53" i="6"/>
  <c r="BK53" i="6"/>
  <c r="BI53" i="6"/>
  <c r="BN53" i="5"/>
  <c r="BO53" i="5" s="1"/>
  <c r="AM52" i="4"/>
  <c r="AN52" i="4" s="1"/>
  <c r="AO52" i="4" s="1"/>
  <c r="L53" i="4" s="1"/>
  <c r="K52" i="4"/>
  <c r="M52" i="4"/>
  <c r="AM56" i="3"/>
  <c r="AN56" i="3" s="1"/>
  <c r="AO56" i="3" s="1"/>
  <c r="L57" i="3" s="1"/>
  <c r="G57" i="3"/>
  <c r="AS57" i="3"/>
  <c r="AW57" i="3" s="1"/>
  <c r="BH57" i="3" s="1"/>
  <c r="BE53" i="6" l="1"/>
  <c r="BF53" i="6" s="1"/>
  <c r="BP53" i="5"/>
  <c r="BQ53" i="5" s="1"/>
  <c r="H53" i="5" s="1"/>
  <c r="BN53" i="6"/>
  <c r="BO53" i="6" s="1"/>
  <c r="BP53" i="6" s="1"/>
  <c r="BQ53" i="6" s="1"/>
  <c r="Q53" i="5"/>
  <c r="R53" i="5" s="1"/>
  <c r="AB53" i="5" s="1"/>
  <c r="AC53" i="5" s="1"/>
  <c r="AD53" i="5" s="1"/>
  <c r="N52" i="4"/>
  <c r="AY57" i="3"/>
  <c r="BB57" i="3" s="1"/>
  <c r="BM57" i="3"/>
  <c r="BL57" i="3"/>
  <c r="BK57" i="3"/>
  <c r="BI57" i="3"/>
  <c r="BJ57" i="3"/>
  <c r="F53" i="4" l="1"/>
  <c r="O52" i="4"/>
  <c r="BA57" i="3"/>
  <c r="H53" i="6"/>
  <c r="Q53" i="6"/>
  <c r="R53" i="6" s="1"/>
  <c r="AB53" i="6" s="1"/>
  <c r="AC53" i="6" s="1"/>
  <c r="AD53" i="6" s="1"/>
  <c r="AI53" i="5"/>
  <c r="AK53" i="5"/>
  <c r="AL53" i="5" s="1"/>
  <c r="I53" i="5"/>
  <c r="AS53" i="4"/>
  <c r="AW53" i="4" s="1"/>
  <c r="G53" i="4"/>
  <c r="BC57" i="3"/>
  <c r="BD57" i="3"/>
  <c r="AZ57" i="3"/>
  <c r="BN57" i="3"/>
  <c r="BO57" i="3" s="1"/>
  <c r="AK53" i="6" l="1"/>
  <c r="AL53" i="6" s="1"/>
  <c r="AI53" i="6"/>
  <c r="I53" i="6"/>
  <c r="K53" i="5"/>
  <c r="M53" i="5"/>
  <c r="AM53" i="5"/>
  <c r="AN53" i="5" s="1"/>
  <c r="AO53" i="5" s="1"/>
  <c r="L54" i="5" s="1"/>
  <c r="AY53" i="4"/>
  <c r="BH53" i="4"/>
  <c r="BE57" i="3"/>
  <c r="BF57" i="3" s="1"/>
  <c r="BP57" i="3" s="1"/>
  <c r="BQ57" i="3" s="1"/>
  <c r="AM53" i="6" l="1"/>
  <c r="AN53" i="6" s="1"/>
  <c r="AO53" i="6" s="1"/>
  <c r="L54" i="6" s="1"/>
  <c r="K53" i="6"/>
  <c r="M53" i="6"/>
  <c r="N53" i="5"/>
  <c r="O53" i="5" s="1"/>
  <c r="F54" i="5" s="1"/>
  <c r="BD53" i="4"/>
  <c r="BC53" i="4"/>
  <c r="BA53" i="4"/>
  <c r="AZ53" i="4"/>
  <c r="BB53" i="4"/>
  <c r="BM53" i="4"/>
  <c r="BL53" i="4"/>
  <c r="BI53" i="4"/>
  <c r="BK53" i="4"/>
  <c r="BJ53" i="4"/>
  <c r="H57" i="3"/>
  <c r="I57" i="3" s="1"/>
  <c r="M57" i="3" s="1"/>
  <c r="Q57" i="3"/>
  <c r="R57" i="3" s="1"/>
  <c r="AB57" i="3" s="1"/>
  <c r="AC57" i="3" s="1"/>
  <c r="AD57" i="3" s="1"/>
  <c r="BN53" i="4" l="1"/>
  <c r="BO53" i="4" s="1"/>
  <c r="N53" i="6"/>
  <c r="O53" i="6" s="1"/>
  <c r="F54" i="6" s="1"/>
  <c r="AS54" i="5"/>
  <c r="AW54" i="5" s="1"/>
  <c r="G54" i="5"/>
  <c r="BE53" i="4"/>
  <c r="BF53" i="4" s="1"/>
  <c r="AI57" i="3"/>
  <c r="AK57" i="3"/>
  <c r="AL57" i="3" s="1"/>
  <c r="K57" i="3"/>
  <c r="BP53" i="4" l="1"/>
  <c r="BQ53" i="4" s="1"/>
  <c r="AS54" i="6"/>
  <c r="AW54" i="6" s="1"/>
  <c r="G54" i="6"/>
  <c r="AY54" i="5"/>
  <c r="BH54" i="5"/>
  <c r="AM57" i="3"/>
  <c r="AN57" i="3" s="1"/>
  <c r="AO57" i="3" s="1"/>
  <c r="L58" i="3" s="1"/>
  <c r="N57" i="3"/>
  <c r="O57" i="3" s="1"/>
  <c r="F58" i="3" s="1"/>
  <c r="BH54" i="6" l="1"/>
  <c r="AY54" i="6"/>
  <c r="BM54" i="5"/>
  <c r="BL54" i="5"/>
  <c r="BJ54" i="5"/>
  <c r="BI54" i="5"/>
  <c r="BK54" i="5"/>
  <c r="BD54" i="5"/>
  <c r="BC54" i="5"/>
  <c r="AZ54" i="5"/>
  <c r="BB54" i="5"/>
  <c r="BA54" i="5"/>
  <c r="H53" i="4"/>
  <c r="Q53" i="4"/>
  <c r="R53" i="4" s="1"/>
  <c r="AB53" i="4" s="1"/>
  <c r="AC53" i="4" s="1"/>
  <c r="AD53" i="4" s="1"/>
  <c r="AS58" i="3"/>
  <c r="AW58" i="3" s="1"/>
  <c r="AY58" i="3" s="1"/>
  <c r="G58" i="3"/>
  <c r="BH58" i="3" l="1"/>
  <c r="BM58" i="3" s="1"/>
  <c r="BN54" i="5"/>
  <c r="BO54" i="5" s="1"/>
  <c r="BE54" i="5"/>
  <c r="BF54" i="5" s="1"/>
  <c r="BP54" i="5" s="1"/>
  <c r="BQ54" i="5" s="1"/>
  <c r="BD54" i="6"/>
  <c r="BC54" i="6"/>
  <c r="BB54" i="6"/>
  <c r="BA54" i="6"/>
  <c r="AZ54" i="6"/>
  <c r="BM54" i="6"/>
  <c r="BL54" i="6"/>
  <c r="BK54" i="6"/>
  <c r="BJ54" i="6"/>
  <c r="BI54" i="6"/>
  <c r="AK53" i="4"/>
  <c r="AL53" i="4" s="1"/>
  <c r="AI53" i="4"/>
  <c r="I53" i="4"/>
  <c r="BL58" i="3"/>
  <c r="BJ58" i="3"/>
  <c r="BK58" i="3"/>
  <c r="BI58" i="3"/>
  <c r="BC58" i="3"/>
  <c r="BD58" i="3"/>
  <c r="BA58" i="3"/>
  <c r="AZ58" i="3"/>
  <c r="BB58" i="3"/>
  <c r="BE54" i="6" l="1"/>
  <c r="BF54" i="6" s="1"/>
  <c r="AM53" i="4"/>
  <c r="AN53" i="4" s="1"/>
  <c r="AO53" i="4" s="1"/>
  <c r="L54" i="4" s="1"/>
  <c r="BN54" i="6"/>
  <c r="BO54" i="6" s="1"/>
  <c r="BP54" i="6" s="1"/>
  <c r="BQ54" i="6" s="1"/>
  <c r="H54" i="5"/>
  <c r="Q54" i="5"/>
  <c r="R54" i="5" s="1"/>
  <c r="AB54" i="5" s="1"/>
  <c r="AC54" i="5" s="1"/>
  <c r="AD54" i="5" s="1"/>
  <c r="K53" i="4"/>
  <c r="M53" i="4"/>
  <c r="BN58" i="3"/>
  <c r="BO58" i="3" s="1"/>
  <c r="BE58" i="3"/>
  <c r="BF58" i="3" s="1"/>
  <c r="H54" i="6" l="1"/>
  <c r="Q54" i="6"/>
  <c r="R54" i="6" s="1"/>
  <c r="AB54" i="6" s="1"/>
  <c r="AC54" i="6" s="1"/>
  <c r="AD54" i="6" s="1"/>
  <c r="AI54" i="5"/>
  <c r="AK54" i="5"/>
  <c r="AL54" i="5" s="1"/>
  <c r="I54" i="5"/>
  <c r="N53" i="4"/>
  <c r="BP58" i="3"/>
  <c r="BQ58" i="3" s="1"/>
  <c r="O53" i="4" l="1"/>
  <c r="F54" i="4" s="1"/>
  <c r="AI54" i="6"/>
  <c r="AK54" i="6"/>
  <c r="AL54" i="6" s="1"/>
  <c r="I54" i="6"/>
  <c r="K54" i="5"/>
  <c r="M54" i="5"/>
  <c r="AM54" i="5"/>
  <c r="AN54" i="5" s="1"/>
  <c r="AO54" i="5" s="1"/>
  <c r="L55" i="5" s="1"/>
  <c r="H58" i="3"/>
  <c r="I58" i="3" s="1"/>
  <c r="M58" i="3" s="1"/>
  <c r="Q58" i="3"/>
  <c r="R58" i="3" s="1"/>
  <c r="AB58" i="3" s="1"/>
  <c r="AC58" i="3" s="1"/>
  <c r="AD58" i="3" s="1"/>
  <c r="AS54" i="4" l="1"/>
  <c r="AW54" i="4" s="1"/>
  <c r="AY54" i="4" s="1"/>
  <c r="G54" i="4"/>
  <c r="K54" i="6"/>
  <c r="M54" i="6"/>
  <c r="AM54" i="6"/>
  <c r="AN54" i="6" s="1"/>
  <c r="AO54" i="6" s="1"/>
  <c r="L55" i="6" s="1"/>
  <c r="N54" i="5"/>
  <c r="O54" i="5" s="1"/>
  <c r="F55" i="5" s="1"/>
  <c r="AI58" i="3"/>
  <c r="AK58" i="3"/>
  <c r="AL58" i="3" s="1"/>
  <c r="K58" i="3"/>
  <c r="BH54" i="4" l="1"/>
  <c r="BM54" i="4" s="1"/>
  <c r="N54" i="6"/>
  <c r="O54" i="6" s="1"/>
  <c r="F55" i="6" s="1"/>
  <c r="AS55" i="5"/>
  <c r="AW55" i="5" s="1"/>
  <c r="G55" i="5"/>
  <c r="BD54" i="4"/>
  <c r="BC54" i="4"/>
  <c r="BB54" i="4"/>
  <c r="BA54" i="4"/>
  <c r="AZ54" i="4"/>
  <c r="AM58" i="3"/>
  <c r="AN58" i="3" s="1"/>
  <c r="AO58" i="3" s="1"/>
  <c r="L59" i="3" s="1"/>
  <c r="N58" i="3"/>
  <c r="O58" i="3" s="1"/>
  <c r="F59" i="3" s="1"/>
  <c r="BK54" i="4" l="1"/>
  <c r="BI54" i="4"/>
  <c r="BN54" i="4" s="1"/>
  <c r="BO54" i="4" s="1"/>
  <c r="BP54" i="4" s="1"/>
  <c r="BQ54" i="4" s="1"/>
  <c r="BJ54" i="4"/>
  <c r="BL54" i="4"/>
  <c r="BE54" i="4"/>
  <c r="BF54" i="4" s="1"/>
  <c r="AS55" i="6"/>
  <c r="AW55" i="6" s="1"/>
  <c r="G55" i="6"/>
  <c r="BH55" i="5"/>
  <c r="AY55" i="5"/>
  <c r="AS59" i="3"/>
  <c r="AW59" i="3" s="1"/>
  <c r="G59" i="3"/>
  <c r="BH55" i="6" l="1"/>
  <c r="AY55" i="6"/>
  <c r="BD55" i="5"/>
  <c r="BC55" i="5"/>
  <c r="BA55" i="5"/>
  <c r="BB55" i="5"/>
  <c r="AZ55" i="5"/>
  <c r="BE55" i="5" s="1"/>
  <c r="BF55" i="5" s="1"/>
  <c r="BM55" i="5"/>
  <c r="BL55" i="5"/>
  <c r="BJ55" i="5"/>
  <c r="BI55" i="5"/>
  <c r="BK55" i="5"/>
  <c r="H54" i="4"/>
  <c r="Q54" i="4"/>
  <c r="R54" i="4" s="1"/>
  <c r="AB54" i="4" s="1"/>
  <c r="AC54" i="4" s="1"/>
  <c r="AD54" i="4" s="1"/>
  <c r="AY59" i="3"/>
  <c r="BH59" i="3"/>
  <c r="BD55" i="6" l="1"/>
  <c r="BC55" i="6"/>
  <c r="AZ55" i="6"/>
  <c r="BB55" i="6"/>
  <c r="BA55" i="6"/>
  <c r="BM55" i="6"/>
  <c r="BL55" i="6"/>
  <c r="BI55" i="6"/>
  <c r="BK55" i="6"/>
  <c r="BJ55" i="6"/>
  <c r="BN55" i="5"/>
  <c r="BO55" i="5" s="1"/>
  <c r="BP55" i="5" s="1"/>
  <c r="BQ55" i="5" s="1"/>
  <c r="AK54" i="4"/>
  <c r="AL54" i="4" s="1"/>
  <c r="AI54" i="4"/>
  <c r="I54" i="4"/>
  <c r="BC59" i="3"/>
  <c r="BD59" i="3"/>
  <c r="AZ59" i="3"/>
  <c r="BA59" i="3"/>
  <c r="BB59" i="3"/>
  <c r="BM59" i="3"/>
  <c r="BL59" i="3"/>
  <c r="BK59" i="3"/>
  <c r="BJ59" i="3"/>
  <c r="BI59" i="3"/>
  <c r="AM54" i="4" l="1"/>
  <c r="AN54" i="4" s="1"/>
  <c r="AO54" i="4" s="1"/>
  <c r="L55" i="4" s="1"/>
  <c r="BN55" i="6"/>
  <c r="BO55" i="6" s="1"/>
  <c r="BE55" i="6"/>
  <c r="BF55" i="6" s="1"/>
  <c r="H55" i="5"/>
  <c r="Q55" i="5"/>
  <c r="R55" i="5" s="1"/>
  <c r="AB55" i="5" s="1"/>
  <c r="AC55" i="5" s="1"/>
  <c r="AD55" i="5" s="1"/>
  <c r="K54" i="4"/>
  <c r="M54" i="4"/>
  <c r="BE59" i="3"/>
  <c r="BF59" i="3" s="1"/>
  <c r="BN59" i="3"/>
  <c r="BO59" i="3" s="1"/>
  <c r="BP55" i="6" l="1"/>
  <c r="BQ55" i="6" s="1"/>
  <c r="AK55" i="5"/>
  <c r="AL55" i="5" s="1"/>
  <c r="AI55" i="5"/>
  <c r="I55" i="5"/>
  <c r="N54" i="4"/>
  <c r="BP59" i="3"/>
  <c r="BQ59" i="3" s="1"/>
  <c r="O54" i="4" l="1"/>
  <c r="F55" i="4" s="1"/>
  <c r="AM55" i="5"/>
  <c r="AN55" i="5" s="1"/>
  <c r="AO55" i="5" s="1"/>
  <c r="L56" i="5" s="1"/>
  <c r="H55" i="6"/>
  <c r="Q55" i="6"/>
  <c r="R55" i="6" s="1"/>
  <c r="AB55" i="6" s="1"/>
  <c r="AC55" i="6" s="1"/>
  <c r="AD55" i="6" s="1"/>
  <c r="K55" i="5"/>
  <c r="M55" i="5"/>
  <c r="H59" i="3"/>
  <c r="I59" i="3" s="1"/>
  <c r="M59" i="3" s="1"/>
  <c r="Q59" i="3"/>
  <c r="R59" i="3" s="1"/>
  <c r="AB59" i="3" s="1"/>
  <c r="AC59" i="3" s="1"/>
  <c r="AD59" i="3" s="1"/>
  <c r="G55" i="4" l="1"/>
  <c r="AS55" i="4"/>
  <c r="AW55" i="4" s="1"/>
  <c r="BH55" i="4" s="1"/>
  <c r="AI55" i="6"/>
  <c r="AK55" i="6"/>
  <c r="AL55" i="6" s="1"/>
  <c r="I55" i="6"/>
  <c r="N55" i="5"/>
  <c r="O55" i="5" s="1"/>
  <c r="F56" i="5" s="1"/>
  <c r="AY55" i="4"/>
  <c r="AK59" i="3"/>
  <c r="AL59" i="3" s="1"/>
  <c r="AI59" i="3"/>
  <c r="K59" i="3"/>
  <c r="K55" i="6" l="1"/>
  <c r="M55" i="6"/>
  <c r="AM55" i="6"/>
  <c r="AN55" i="6" s="1"/>
  <c r="AO55" i="6" s="1"/>
  <c r="L56" i="6" s="1"/>
  <c r="AS56" i="5"/>
  <c r="AW56" i="5" s="1"/>
  <c r="G56" i="5"/>
  <c r="BD55" i="4"/>
  <c r="BC55" i="4"/>
  <c r="AZ55" i="4"/>
  <c r="BA55" i="4"/>
  <c r="BB55" i="4"/>
  <c r="BM55" i="4"/>
  <c r="BL55" i="4"/>
  <c r="BK55" i="4"/>
  <c r="BI55" i="4"/>
  <c r="BJ55" i="4"/>
  <c r="AM59" i="3"/>
  <c r="AN59" i="3" s="1"/>
  <c r="AO59" i="3" s="1"/>
  <c r="L60" i="3" s="1"/>
  <c r="N59" i="3"/>
  <c r="O59" i="3" s="1"/>
  <c r="F60" i="3" s="1"/>
  <c r="N55" i="6" l="1"/>
  <c r="O55" i="6" s="1"/>
  <c r="F56" i="6" s="1"/>
  <c r="AY56" i="5"/>
  <c r="BH56" i="5"/>
  <c r="BE55" i="4"/>
  <c r="BF55" i="4" s="1"/>
  <c r="BN55" i="4"/>
  <c r="BO55" i="4" s="1"/>
  <c r="BP55" i="4" s="1"/>
  <c r="AS60" i="3"/>
  <c r="AW60" i="3" s="1"/>
  <c r="G60" i="3"/>
  <c r="AS56" i="6" l="1"/>
  <c r="AW56" i="6" s="1"/>
  <c r="G56" i="6"/>
  <c r="BM56" i="5"/>
  <c r="BL56" i="5"/>
  <c r="BK56" i="5"/>
  <c r="BJ56" i="5"/>
  <c r="BI56" i="5"/>
  <c r="BD56" i="5"/>
  <c r="BC56" i="5"/>
  <c r="BB56" i="5"/>
  <c r="BA56" i="5"/>
  <c r="AZ56" i="5"/>
  <c r="BQ55" i="4"/>
  <c r="AY60" i="3"/>
  <c r="BH60" i="3"/>
  <c r="BN56" i="5" l="1"/>
  <c r="BO56" i="5" s="1"/>
  <c r="BH56" i="6"/>
  <c r="AY56" i="6"/>
  <c r="BE56" i="5"/>
  <c r="BF56" i="5" s="1"/>
  <c r="BP56" i="5" s="1"/>
  <c r="H55" i="4"/>
  <c r="Q55" i="4"/>
  <c r="R55" i="4" s="1"/>
  <c r="AB55" i="4" s="1"/>
  <c r="AC55" i="4" s="1"/>
  <c r="AD55" i="4" s="1"/>
  <c r="BL60" i="3"/>
  <c r="BM60" i="3"/>
  <c r="BK60" i="3"/>
  <c r="BI60" i="3"/>
  <c r="BJ60" i="3"/>
  <c r="BC60" i="3"/>
  <c r="BD60" i="3"/>
  <c r="BA60" i="3"/>
  <c r="BB60" i="3"/>
  <c r="AZ60" i="3"/>
  <c r="BD56" i="6" l="1"/>
  <c r="BC56" i="6"/>
  <c r="BA56" i="6"/>
  <c r="BB56" i="6"/>
  <c r="AZ56" i="6"/>
  <c r="BE56" i="6" s="1"/>
  <c r="BF56" i="6" s="1"/>
  <c r="BM56" i="6"/>
  <c r="BL56" i="6"/>
  <c r="BJ56" i="6"/>
  <c r="BK56" i="6"/>
  <c r="BI56" i="6"/>
  <c r="BQ56" i="5"/>
  <c r="AI55" i="4"/>
  <c r="AK55" i="4"/>
  <c r="AL55" i="4" s="1"/>
  <c r="I55" i="4"/>
  <c r="BN60" i="3"/>
  <c r="BO60" i="3" s="1"/>
  <c r="BE60" i="3"/>
  <c r="BF60" i="3" s="1"/>
  <c r="BN56" i="6" l="1"/>
  <c r="BO56" i="6" s="1"/>
  <c r="BP56" i="6" s="1"/>
  <c r="BQ56" i="6" s="1"/>
  <c r="H56" i="5"/>
  <c r="Q56" i="5"/>
  <c r="R56" i="5" s="1"/>
  <c r="AB56" i="5" s="1"/>
  <c r="AC56" i="5" s="1"/>
  <c r="AD56" i="5" s="1"/>
  <c r="K55" i="4"/>
  <c r="M55" i="4"/>
  <c r="AM55" i="4"/>
  <c r="AN55" i="4" s="1"/>
  <c r="AO55" i="4" s="1"/>
  <c r="L56" i="4" s="1"/>
  <c r="BP60" i="3"/>
  <c r="BQ60" i="3" s="1"/>
  <c r="H56" i="6" l="1"/>
  <c r="Q56" i="6"/>
  <c r="R56" i="6" s="1"/>
  <c r="AB56" i="6" s="1"/>
  <c r="AC56" i="6" s="1"/>
  <c r="AD56" i="6" s="1"/>
  <c r="AK56" i="5"/>
  <c r="AL56" i="5" s="1"/>
  <c r="AI56" i="5"/>
  <c r="AM56" i="5" s="1"/>
  <c r="AN56" i="5" s="1"/>
  <c r="AO56" i="5" s="1"/>
  <c r="L57" i="5" s="1"/>
  <c r="I56" i="5"/>
  <c r="N55" i="4"/>
  <c r="H60" i="3"/>
  <c r="I60" i="3" s="1"/>
  <c r="M60" i="3" s="1"/>
  <c r="Q60" i="3"/>
  <c r="R60" i="3" s="1"/>
  <c r="AB60" i="3" s="1"/>
  <c r="AC60" i="3" s="1"/>
  <c r="AD60" i="3" s="1"/>
  <c r="O55" i="4" l="1"/>
  <c r="F56" i="4" s="1"/>
  <c r="AK56" i="6"/>
  <c r="AL56" i="6" s="1"/>
  <c r="AI56" i="6"/>
  <c r="I56" i="6"/>
  <c r="K56" i="5"/>
  <c r="M56" i="5"/>
  <c r="K60" i="3"/>
  <c r="N60" i="3" s="1"/>
  <c r="O60" i="3" s="1"/>
  <c r="F61" i="3" s="1"/>
  <c r="AI60" i="3"/>
  <c r="AK60" i="3"/>
  <c r="AL60" i="3" s="1"/>
  <c r="G56" i="4" l="1"/>
  <c r="AS56" i="4"/>
  <c r="AW56" i="4" s="1"/>
  <c r="AM56" i="6"/>
  <c r="AN56" i="6" s="1"/>
  <c r="AO56" i="6" s="1"/>
  <c r="L57" i="6" s="1"/>
  <c r="K56" i="6"/>
  <c r="M56" i="6"/>
  <c r="N56" i="5"/>
  <c r="O56" i="5" s="1"/>
  <c r="F57" i="5" s="1"/>
  <c r="BH56" i="4"/>
  <c r="AY56" i="4"/>
  <c r="AM60" i="3"/>
  <c r="AN60" i="3" s="1"/>
  <c r="AO60" i="3" s="1"/>
  <c r="L61" i="3" s="1"/>
  <c r="G61" i="3"/>
  <c r="AS61" i="3"/>
  <c r="AW61" i="3" s="1"/>
  <c r="BH61" i="3" s="1"/>
  <c r="N56" i="6" l="1"/>
  <c r="O56" i="6" s="1"/>
  <c r="F57" i="6" s="1"/>
  <c r="AS57" i="5"/>
  <c r="AW57" i="5" s="1"/>
  <c r="G57" i="5"/>
  <c r="BD56" i="4"/>
  <c r="BC56" i="4"/>
  <c r="BB56" i="4"/>
  <c r="BA56" i="4"/>
  <c r="AZ56" i="4"/>
  <c r="BM56" i="4"/>
  <c r="BL56" i="4"/>
  <c r="BJ56" i="4"/>
  <c r="BI56" i="4"/>
  <c r="BK56" i="4"/>
  <c r="AY61" i="3"/>
  <c r="BB61" i="3" s="1"/>
  <c r="BL61" i="3"/>
  <c r="BM61" i="3"/>
  <c r="BI61" i="3"/>
  <c r="BK61" i="3"/>
  <c r="BJ61" i="3"/>
  <c r="BE56" i="4" l="1"/>
  <c r="BF56" i="4" s="1"/>
  <c r="AS57" i="6"/>
  <c r="AW57" i="6" s="1"/>
  <c r="G57" i="6"/>
  <c r="BH57" i="5"/>
  <c r="AY57" i="5"/>
  <c r="BN56" i="4"/>
  <c r="BO56" i="4" s="1"/>
  <c r="BP56" i="4" s="1"/>
  <c r="BQ56" i="4" s="1"/>
  <c r="BA61" i="3"/>
  <c r="BD61" i="3"/>
  <c r="BC61" i="3"/>
  <c r="AZ61" i="3"/>
  <c r="BN61" i="3"/>
  <c r="BO61" i="3" s="1"/>
  <c r="AY57" i="6" l="1"/>
  <c r="BH57" i="6"/>
  <c r="BD57" i="5"/>
  <c r="BC57" i="5"/>
  <c r="AZ57" i="5"/>
  <c r="BA57" i="5"/>
  <c r="BB57" i="5"/>
  <c r="BM57" i="5"/>
  <c r="BL57" i="5"/>
  <c r="BK57" i="5"/>
  <c r="BJ57" i="5"/>
  <c r="BI57" i="5"/>
  <c r="H56" i="4"/>
  <c r="Q56" i="4"/>
  <c r="R56" i="4" s="1"/>
  <c r="AB56" i="4" s="1"/>
  <c r="AC56" i="4" s="1"/>
  <c r="AD56" i="4" s="1"/>
  <c r="BE61" i="3"/>
  <c r="BF61" i="3" s="1"/>
  <c r="BP61" i="3" s="1"/>
  <c r="BQ61" i="3" s="1"/>
  <c r="BE57" i="5" l="1"/>
  <c r="BF57" i="5" s="1"/>
  <c r="BM57" i="6"/>
  <c r="BL57" i="6"/>
  <c r="BJ57" i="6"/>
  <c r="BK57" i="6"/>
  <c r="BI57" i="6"/>
  <c r="BD57" i="6"/>
  <c r="BC57" i="6"/>
  <c r="AZ57" i="6"/>
  <c r="BB57" i="6"/>
  <c r="BA57" i="6"/>
  <c r="BN57" i="5"/>
  <c r="BO57" i="5" s="1"/>
  <c r="AK56" i="4"/>
  <c r="AL56" i="4" s="1"/>
  <c r="AI56" i="4"/>
  <c r="I56" i="4"/>
  <c r="H61" i="3"/>
  <c r="I61" i="3" s="1"/>
  <c r="M61" i="3" s="1"/>
  <c r="Q61" i="3"/>
  <c r="R61" i="3" s="1"/>
  <c r="AB61" i="3" s="1"/>
  <c r="AC61" i="3" s="1"/>
  <c r="AD61" i="3" s="1"/>
  <c r="BP57" i="5" l="1"/>
  <c r="BQ57" i="5" s="1"/>
  <c r="BE57" i="6"/>
  <c r="BF57" i="6" s="1"/>
  <c r="BN57" i="6"/>
  <c r="BO57" i="6" s="1"/>
  <c r="AM56" i="4"/>
  <c r="AN56" i="4" s="1"/>
  <c r="AO56" i="4" s="1"/>
  <c r="L57" i="4" s="1"/>
  <c r="H57" i="5"/>
  <c r="Q57" i="5"/>
  <c r="R57" i="5" s="1"/>
  <c r="AB57" i="5" s="1"/>
  <c r="AC57" i="5" s="1"/>
  <c r="AD57" i="5" s="1"/>
  <c r="K56" i="4"/>
  <c r="M56" i="4"/>
  <c r="AI61" i="3"/>
  <c r="AK61" i="3"/>
  <c r="AL61" i="3" s="1"/>
  <c r="K61" i="3"/>
  <c r="BP57" i="6" l="1"/>
  <c r="BQ57" i="6" s="1"/>
  <c r="H57" i="6" s="1"/>
  <c r="N56" i="4"/>
  <c r="Q57" i="6"/>
  <c r="R57" i="6" s="1"/>
  <c r="AB57" i="6" s="1"/>
  <c r="AC57" i="6" s="1"/>
  <c r="AD57" i="6" s="1"/>
  <c r="AK57" i="5"/>
  <c r="AL57" i="5" s="1"/>
  <c r="AI57" i="5"/>
  <c r="I57" i="5"/>
  <c r="AM61" i="3"/>
  <c r="AN61" i="3" s="1"/>
  <c r="AO61" i="3" s="1"/>
  <c r="L62" i="3" s="1"/>
  <c r="N61" i="3"/>
  <c r="O61" i="3" s="1"/>
  <c r="F62" i="3" s="1"/>
  <c r="O56" i="4" l="1"/>
  <c r="F57" i="4" s="1"/>
  <c r="AM57" i="5"/>
  <c r="AN57" i="5" s="1"/>
  <c r="AO57" i="5" s="1"/>
  <c r="L58" i="5" s="1"/>
  <c r="AI57" i="6"/>
  <c r="AK57" i="6"/>
  <c r="AL57" i="6" s="1"/>
  <c r="I57" i="6"/>
  <c r="K57" i="5"/>
  <c r="M57" i="5"/>
  <c r="AS62" i="3"/>
  <c r="AW62" i="3" s="1"/>
  <c r="G62" i="3"/>
  <c r="AS57" i="4" l="1"/>
  <c r="AW57" i="4" s="1"/>
  <c r="G57" i="4"/>
  <c r="K57" i="6"/>
  <c r="M57" i="6"/>
  <c r="AM57" i="6"/>
  <c r="AN57" i="6" s="1"/>
  <c r="AO57" i="6" s="1"/>
  <c r="L58" i="6" s="1"/>
  <c r="N57" i="5"/>
  <c r="O57" i="5" s="1"/>
  <c r="F58" i="5" s="1"/>
  <c r="AY62" i="3"/>
  <c r="BH62" i="3"/>
  <c r="AY57" i="4" l="1"/>
  <c r="BH57" i="4"/>
  <c r="N57" i="6"/>
  <c r="O57" i="6" s="1"/>
  <c r="F58" i="6" s="1"/>
  <c r="AS58" i="5"/>
  <c r="AW58" i="5" s="1"/>
  <c r="G58" i="5"/>
  <c r="BL62" i="3"/>
  <c r="BM62" i="3"/>
  <c r="BI62" i="3"/>
  <c r="BJ62" i="3"/>
  <c r="BK62" i="3"/>
  <c r="BC62" i="3"/>
  <c r="BD62" i="3"/>
  <c r="BB62" i="3"/>
  <c r="BA62" i="3"/>
  <c r="AZ62" i="3"/>
  <c r="BK57" i="4" l="1"/>
  <c r="BJ57" i="4"/>
  <c r="BI57" i="4"/>
  <c r="BM57" i="4"/>
  <c r="BL57" i="4"/>
  <c r="BC57" i="4"/>
  <c r="BA57" i="4"/>
  <c r="AZ57" i="4"/>
  <c r="BE57" i="4" s="1"/>
  <c r="BF57" i="4" s="1"/>
  <c r="BD57" i="4"/>
  <c r="BB57" i="4"/>
  <c r="AS58" i="6"/>
  <c r="AW58" i="6" s="1"/>
  <c r="G58" i="6"/>
  <c r="BH58" i="5"/>
  <c r="AY58" i="5"/>
  <c r="BN62" i="3"/>
  <c r="BO62" i="3" s="1"/>
  <c r="BE62" i="3"/>
  <c r="BF62" i="3" s="1"/>
  <c r="BN57" i="4" l="1"/>
  <c r="BO57" i="4" s="1"/>
  <c r="BP57" i="4" s="1"/>
  <c r="BQ57" i="4" s="1"/>
  <c r="H57" i="4" s="1"/>
  <c r="BH58" i="6"/>
  <c r="AY58" i="6"/>
  <c r="BD58" i="5"/>
  <c r="BC58" i="5"/>
  <c r="BB58" i="5"/>
  <c r="BA58" i="5"/>
  <c r="AZ58" i="5"/>
  <c r="BE58" i="5" s="1"/>
  <c r="BF58" i="5" s="1"/>
  <c r="BM58" i="5"/>
  <c r="BL58" i="5"/>
  <c r="BJ58" i="5"/>
  <c r="BI58" i="5"/>
  <c r="BK58" i="5"/>
  <c r="Q57" i="4"/>
  <c r="R57" i="4" s="1"/>
  <c r="AB57" i="4" s="1"/>
  <c r="AC57" i="4" s="1"/>
  <c r="AD57" i="4" s="1"/>
  <c r="BP62" i="3"/>
  <c r="BQ62" i="3" s="1"/>
  <c r="BD58" i="6" l="1"/>
  <c r="BC58" i="6"/>
  <c r="BB58" i="6"/>
  <c r="AZ58" i="6"/>
  <c r="BA58" i="6"/>
  <c r="BM58" i="6"/>
  <c r="BL58" i="6"/>
  <c r="BK58" i="6"/>
  <c r="BI58" i="6"/>
  <c r="BJ58" i="6"/>
  <c r="BN58" i="5"/>
  <c r="BO58" i="5" s="1"/>
  <c r="BP58" i="5" s="1"/>
  <c r="BQ58" i="5" s="1"/>
  <c r="AI57" i="4"/>
  <c r="AK57" i="4"/>
  <c r="AL57" i="4" s="1"/>
  <c r="I57" i="4"/>
  <c r="H62" i="3"/>
  <c r="I62" i="3" s="1"/>
  <c r="M62" i="3" s="1"/>
  <c r="Q62" i="3"/>
  <c r="R62" i="3" s="1"/>
  <c r="AB62" i="3" s="1"/>
  <c r="AC62" i="3" s="1"/>
  <c r="AD62" i="3" s="1"/>
  <c r="BE58" i="6" l="1"/>
  <c r="BF58" i="6" s="1"/>
  <c r="BN58" i="6"/>
  <c r="BO58" i="6" s="1"/>
  <c r="H58" i="5"/>
  <c r="Q58" i="5"/>
  <c r="R58" i="5" s="1"/>
  <c r="AB58" i="5" s="1"/>
  <c r="AC58" i="5" s="1"/>
  <c r="AD58" i="5" s="1"/>
  <c r="K57" i="4"/>
  <c r="M57" i="4"/>
  <c r="AM57" i="4"/>
  <c r="AN57" i="4" s="1"/>
  <c r="AO57" i="4" s="1"/>
  <c r="L58" i="4" s="1"/>
  <c r="AI62" i="3"/>
  <c r="AK62" i="3"/>
  <c r="AL62" i="3" s="1"/>
  <c r="K62" i="3"/>
  <c r="BP58" i="6" l="1"/>
  <c r="BQ58" i="6" s="1"/>
  <c r="H58" i="6"/>
  <c r="Q58" i="6"/>
  <c r="R58" i="6" s="1"/>
  <c r="AB58" i="6" s="1"/>
  <c r="AC58" i="6" s="1"/>
  <c r="AD58" i="6" s="1"/>
  <c r="AI58" i="5"/>
  <c r="AK58" i="5"/>
  <c r="AL58" i="5" s="1"/>
  <c r="I58" i="5"/>
  <c r="N57" i="4"/>
  <c r="AM62" i="3"/>
  <c r="AN62" i="3" s="1"/>
  <c r="AO62" i="3" s="1"/>
  <c r="L63" i="3" s="1"/>
  <c r="N62" i="3"/>
  <c r="O62" i="3" s="1"/>
  <c r="F63" i="3" s="1"/>
  <c r="O57" i="4" l="1"/>
  <c r="F58" i="4" s="1"/>
  <c r="AK58" i="6"/>
  <c r="AL58" i="6" s="1"/>
  <c r="AI58" i="6"/>
  <c r="AM58" i="6" s="1"/>
  <c r="AN58" i="6" s="1"/>
  <c r="AO58" i="6" s="1"/>
  <c r="L59" i="6" s="1"/>
  <c r="I58" i="6"/>
  <c r="K58" i="5"/>
  <c r="M58" i="5"/>
  <c r="AM58" i="5"/>
  <c r="AN58" i="5" s="1"/>
  <c r="AO58" i="5" s="1"/>
  <c r="L59" i="5" s="1"/>
  <c r="AS63" i="3"/>
  <c r="AW63" i="3" s="1"/>
  <c r="AY63" i="3" s="1"/>
  <c r="G63" i="3"/>
  <c r="AS58" i="4" l="1"/>
  <c r="AW58" i="4" s="1"/>
  <c r="G58" i="4"/>
  <c r="K58" i="6"/>
  <c r="M58" i="6"/>
  <c r="N58" i="5"/>
  <c r="O58" i="5" s="1"/>
  <c r="F59" i="5" s="1"/>
  <c r="BH58" i="4"/>
  <c r="AY58" i="4"/>
  <c r="BH63" i="3"/>
  <c r="BL63" i="3" s="1"/>
  <c r="BD63" i="3"/>
  <c r="BC63" i="3"/>
  <c r="AZ63" i="3"/>
  <c r="BA63" i="3"/>
  <c r="BB63" i="3"/>
  <c r="N58" i="6" l="1"/>
  <c r="O58" i="6" s="1"/>
  <c r="F59" i="6" s="1"/>
  <c r="AS59" i="5"/>
  <c r="AW59" i="5" s="1"/>
  <c r="G59" i="5"/>
  <c r="BD58" i="4"/>
  <c r="BC58" i="4"/>
  <c r="BA58" i="4"/>
  <c r="BB58" i="4"/>
  <c r="AZ58" i="4"/>
  <c r="BM58" i="4"/>
  <c r="BL58" i="4"/>
  <c r="BI58" i="4"/>
  <c r="BJ58" i="4"/>
  <c r="BK58" i="4"/>
  <c r="BK63" i="3"/>
  <c r="BI63" i="3"/>
  <c r="BM63" i="3"/>
  <c r="BJ63" i="3"/>
  <c r="BE63" i="3"/>
  <c r="BF63" i="3" s="1"/>
  <c r="BN58" i="4" l="1"/>
  <c r="BO58" i="4" s="1"/>
  <c r="BE58" i="4"/>
  <c r="BF58" i="4" s="1"/>
  <c r="BP58" i="4" s="1"/>
  <c r="BQ58" i="4" s="1"/>
  <c r="AS59" i="6"/>
  <c r="AW59" i="6" s="1"/>
  <c r="G59" i="6"/>
  <c r="BH59" i="5"/>
  <c r="AY59" i="5"/>
  <c r="BN63" i="3"/>
  <c r="BO63" i="3" s="1"/>
  <c r="BP63" i="3" s="1"/>
  <c r="BQ63" i="3" s="1"/>
  <c r="BH59" i="6" l="1"/>
  <c r="AY59" i="6"/>
  <c r="BD59" i="5"/>
  <c r="BC59" i="5"/>
  <c r="AZ59" i="5"/>
  <c r="BA59" i="5"/>
  <c r="BB59" i="5"/>
  <c r="BM59" i="5"/>
  <c r="BL59" i="5"/>
  <c r="BJ59" i="5"/>
  <c r="BK59" i="5"/>
  <c r="BI59" i="5"/>
  <c r="H58" i="4"/>
  <c r="Q58" i="4"/>
  <c r="R58" i="4" s="1"/>
  <c r="AB58" i="4" s="1"/>
  <c r="AC58" i="4" s="1"/>
  <c r="AD58" i="4" s="1"/>
  <c r="H63" i="3"/>
  <c r="I63" i="3" s="1"/>
  <c r="M63" i="3" s="1"/>
  <c r="Q63" i="3"/>
  <c r="R63" i="3" s="1"/>
  <c r="AB63" i="3" s="1"/>
  <c r="AC63" i="3" s="1"/>
  <c r="AD63" i="3" s="1"/>
  <c r="BE59" i="5" l="1"/>
  <c r="BF59" i="5" s="1"/>
  <c r="BD59" i="6"/>
  <c r="BC59" i="6"/>
  <c r="BA59" i="6"/>
  <c r="AZ59" i="6"/>
  <c r="BB59" i="6"/>
  <c r="BM59" i="6"/>
  <c r="BL59" i="6"/>
  <c r="BI59" i="6"/>
  <c r="BK59" i="6"/>
  <c r="BJ59" i="6"/>
  <c r="BN59" i="5"/>
  <c r="BO59" i="5" s="1"/>
  <c r="BP59" i="5" s="1"/>
  <c r="BQ59" i="5" s="1"/>
  <c r="AK58" i="4"/>
  <c r="AL58" i="4" s="1"/>
  <c r="AI58" i="4"/>
  <c r="I58" i="4"/>
  <c r="K63" i="3"/>
  <c r="N63" i="3" s="1"/>
  <c r="O63" i="3" s="1"/>
  <c r="F64" i="3" s="1"/>
  <c r="AK63" i="3"/>
  <c r="AL63" i="3" s="1"/>
  <c r="AI63" i="3"/>
  <c r="BN59" i="6" l="1"/>
  <c r="BO59" i="6" s="1"/>
  <c r="BE59" i="6"/>
  <c r="BF59" i="6" s="1"/>
  <c r="H59" i="5"/>
  <c r="Q59" i="5"/>
  <c r="R59" i="5" s="1"/>
  <c r="AB59" i="5" s="1"/>
  <c r="AC59" i="5" s="1"/>
  <c r="AD59" i="5" s="1"/>
  <c r="AM58" i="4"/>
  <c r="AN58" i="4" s="1"/>
  <c r="AO58" i="4" s="1"/>
  <c r="L59" i="4" s="1"/>
  <c r="K58" i="4"/>
  <c r="M58" i="4"/>
  <c r="AM63" i="3"/>
  <c r="AN63" i="3" s="1"/>
  <c r="AO63" i="3" s="1"/>
  <c r="L64" i="3" s="1"/>
  <c r="G64" i="3"/>
  <c r="AS64" i="3"/>
  <c r="AW64" i="3" s="1"/>
  <c r="AY64" i="3" s="1"/>
  <c r="BP59" i="6" l="1"/>
  <c r="BQ59" i="6" s="1"/>
  <c r="H59" i="6"/>
  <c r="Q59" i="6"/>
  <c r="R59" i="6" s="1"/>
  <c r="AB59" i="6" s="1"/>
  <c r="AC59" i="6" s="1"/>
  <c r="AD59" i="6" s="1"/>
  <c r="AK59" i="5"/>
  <c r="AL59" i="5" s="1"/>
  <c r="AI59" i="5"/>
  <c r="I59" i="5"/>
  <c r="N58" i="4"/>
  <c r="BH64" i="3"/>
  <c r="BL64" i="3" s="1"/>
  <c r="BC64" i="3"/>
  <c r="BD64" i="3"/>
  <c r="BB64" i="3"/>
  <c r="BA64" i="3"/>
  <c r="AZ64" i="3"/>
  <c r="O58" i="4" l="1"/>
  <c r="F59" i="4" s="1"/>
  <c r="AM59" i="5"/>
  <c r="AN59" i="5" s="1"/>
  <c r="AO59" i="5" s="1"/>
  <c r="L60" i="5" s="1"/>
  <c r="AI59" i="6"/>
  <c r="AK59" i="6"/>
  <c r="AL59" i="6" s="1"/>
  <c r="I59" i="6"/>
  <c r="K59" i="5"/>
  <c r="M59" i="5"/>
  <c r="BK64" i="3"/>
  <c r="BJ64" i="3"/>
  <c r="BI64" i="3"/>
  <c r="BM64" i="3"/>
  <c r="BE64" i="3"/>
  <c r="BF64" i="3" s="1"/>
  <c r="AS59" i="4" l="1"/>
  <c r="AW59" i="4" s="1"/>
  <c r="G59" i="4"/>
  <c r="K59" i="6"/>
  <c r="M59" i="6"/>
  <c r="AM59" i="6"/>
  <c r="AN59" i="6" s="1"/>
  <c r="AO59" i="6" s="1"/>
  <c r="L60" i="6" s="1"/>
  <c r="N59" i="5"/>
  <c r="O59" i="5" s="1"/>
  <c r="F60" i="5" s="1"/>
  <c r="AY59" i="4"/>
  <c r="BH59" i="4"/>
  <c r="BN64" i="3"/>
  <c r="BO64" i="3" s="1"/>
  <c r="BP64" i="3" s="1"/>
  <c r="BQ64" i="3" s="1"/>
  <c r="N59" i="6" l="1"/>
  <c r="O59" i="6" s="1"/>
  <c r="F60" i="6" s="1"/>
  <c r="AS60" i="5"/>
  <c r="AW60" i="5" s="1"/>
  <c r="G60" i="5"/>
  <c r="BM59" i="4"/>
  <c r="BL59" i="4"/>
  <c r="BK59" i="4"/>
  <c r="BJ59" i="4"/>
  <c r="BI59" i="4"/>
  <c r="BD59" i="4"/>
  <c r="BC59" i="4"/>
  <c r="BA59" i="4"/>
  <c r="AZ59" i="4"/>
  <c r="BB59" i="4"/>
  <c r="H64" i="3"/>
  <c r="I64" i="3" s="1"/>
  <c r="M64" i="3" s="1"/>
  <c r="Q64" i="3"/>
  <c r="R64" i="3" s="1"/>
  <c r="AB64" i="3" s="1"/>
  <c r="AC64" i="3" s="1"/>
  <c r="AD64" i="3" s="1"/>
  <c r="BN59" i="4" l="1"/>
  <c r="BO59" i="4" s="1"/>
  <c r="AS60" i="6"/>
  <c r="AW60" i="6" s="1"/>
  <c r="G60" i="6"/>
  <c r="BH60" i="5"/>
  <c r="AY60" i="5"/>
  <c r="BE59" i="4"/>
  <c r="BF59" i="4" s="1"/>
  <c r="AI64" i="3"/>
  <c r="AK64" i="3"/>
  <c r="AL64" i="3" s="1"/>
  <c r="K64" i="3"/>
  <c r="BH60" i="6" l="1"/>
  <c r="AY60" i="6"/>
  <c r="BD60" i="5"/>
  <c r="BC60" i="5"/>
  <c r="AZ60" i="5"/>
  <c r="BB60" i="5"/>
  <c r="BA60" i="5"/>
  <c r="BM60" i="5"/>
  <c r="BL60" i="5"/>
  <c r="BI60" i="5"/>
  <c r="BJ60" i="5"/>
  <c r="BK60" i="5"/>
  <c r="BP59" i="4"/>
  <c r="BQ59" i="4" s="1"/>
  <c r="AM64" i="3"/>
  <c r="AN64" i="3" s="1"/>
  <c r="AO64" i="3" s="1"/>
  <c r="L65" i="3" s="1"/>
  <c r="N64" i="3"/>
  <c r="O64" i="3" s="1"/>
  <c r="F65" i="3" s="1"/>
  <c r="BN60" i="5" l="1"/>
  <c r="BO60" i="5" s="1"/>
  <c r="BD60" i="6"/>
  <c r="BC60" i="6"/>
  <c r="BA60" i="6"/>
  <c r="BB60" i="6"/>
  <c r="AZ60" i="6"/>
  <c r="BM60" i="6"/>
  <c r="BL60" i="6"/>
  <c r="BJ60" i="6"/>
  <c r="BK60" i="6"/>
  <c r="BI60" i="6"/>
  <c r="BE60" i="5"/>
  <c r="BF60" i="5" s="1"/>
  <c r="H59" i="4"/>
  <c r="Q59" i="4"/>
  <c r="R59" i="4" s="1"/>
  <c r="AB59" i="4" s="1"/>
  <c r="AC59" i="4" s="1"/>
  <c r="AD59" i="4" s="1"/>
  <c r="AS65" i="3"/>
  <c r="AW65" i="3" s="1"/>
  <c r="AY65" i="3" s="1"/>
  <c r="G65" i="3"/>
  <c r="BE60" i="6" l="1"/>
  <c r="BF60" i="6" s="1"/>
  <c r="BN60" i="6"/>
  <c r="BO60" i="6" s="1"/>
  <c r="BP60" i="6" s="1"/>
  <c r="BQ60" i="6" s="1"/>
  <c r="BP60" i="5"/>
  <c r="BQ60" i="5" s="1"/>
  <c r="AK59" i="4"/>
  <c r="AL59" i="4" s="1"/>
  <c r="AI59" i="4"/>
  <c r="I59" i="4"/>
  <c r="BH65" i="3"/>
  <c r="BM65" i="3" s="1"/>
  <c r="BC65" i="3"/>
  <c r="BD65" i="3"/>
  <c r="BA65" i="3"/>
  <c r="BB65" i="3"/>
  <c r="AZ65" i="3"/>
  <c r="BL65" i="3" l="1"/>
  <c r="BK65" i="3"/>
  <c r="BI65" i="3"/>
  <c r="BJ65" i="3"/>
  <c r="AM59" i="4"/>
  <c r="AN59" i="4" s="1"/>
  <c r="AO59" i="4" s="1"/>
  <c r="L60" i="4" s="1"/>
  <c r="H60" i="6"/>
  <c r="Q60" i="6"/>
  <c r="R60" i="6" s="1"/>
  <c r="AB60" i="6" s="1"/>
  <c r="AC60" i="6" s="1"/>
  <c r="AD60" i="6" s="1"/>
  <c r="H60" i="5"/>
  <c r="Q60" i="5"/>
  <c r="R60" i="5" s="1"/>
  <c r="AB60" i="5" s="1"/>
  <c r="AC60" i="5" s="1"/>
  <c r="AD60" i="5" s="1"/>
  <c r="K59" i="4"/>
  <c r="M59" i="4"/>
  <c r="BE65" i="3"/>
  <c r="BF65" i="3" s="1"/>
  <c r="BN65" i="3" l="1"/>
  <c r="BO65" i="3" s="1"/>
  <c r="AK60" i="6"/>
  <c r="AL60" i="6" s="1"/>
  <c r="AI60" i="6"/>
  <c r="AM60" i="6" s="1"/>
  <c r="AN60" i="6" s="1"/>
  <c r="AO60" i="6" s="1"/>
  <c r="L61" i="6" s="1"/>
  <c r="I60" i="6"/>
  <c r="AI60" i="5"/>
  <c r="AK60" i="5"/>
  <c r="AL60" i="5" s="1"/>
  <c r="I60" i="5"/>
  <c r="N59" i="4"/>
  <c r="BP65" i="3"/>
  <c r="BQ65" i="3" s="1"/>
  <c r="F60" i="4" l="1"/>
  <c r="AS60" i="4" s="1"/>
  <c r="AW60" i="4" s="1"/>
  <c r="O59" i="4"/>
  <c r="K60" i="6"/>
  <c r="M60" i="6"/>
  <c r="K60" i="5"/>
  <c r="M60" i="5"/>
  <c r="AM60" i="5"/>
  <c r="AN60" i="5" s="1"/>
  <c r="AO60" i="5" s="1"/>
  <c r="L61" i="5" s="1"/>
  <c r="G60" i="4"/>
  <c r="H65" i="3"/>
  <c r="I65" i="3" s="1"/>
  <c r="M65" i="3" s="1"/>
  <c r="Q65" i="3"/>
  <c r="R65" i="3" s="1"/>
  <c r="AB65" i="3" s="1"/>
  <c r="AC65" i="3" s="1"/>
  <c r="AD65" i="3" s="1"/>
  <c r="N60" i="6" l="1"/>
  <c r="O60" i="6" s="1"/>
  <c r="F61" i="6" s="1"/>
  <c r="N60" i="5"/>
  <c r="O60" i="5" s="1"/>
  <c r="F61" i="5" s="1"/>
  <c r="BH60" i="4"/>
  <c r="AY60" i="4"/>
  <c r="AK65" i="3"/>
  <c r="AL65" i="3" s="1"/>
  <c r="AI65" i="3"/>
  <c r="K65" i="3"/>
  <c r="AS61" i="6" l="1"/>
  <c r="AW61" i="6" s="1"/>
  <c r="G61" i="6"/>
  <c r="AS61" i="5"/>
  <c r="AW61" i="5" s="1"/>
  <c r="G61" i="5"/>
  <c r="BD60" i="4"/>
  <c r="BC60" i="4"/>
  <c r="AZ60" i="4"/>
  <c r="BA60" i="4"/>
  <c r="BB60" i="4"/>
  <c r="BM60" i="4"/>
  <c r="BL60" i="4"/>
  <c r="BI60" i="4"/>
  <c r="BJ60" i="4"/>
  <c r="BK60" i="4"/>
  <c r="AM65" i="3"/>
  <c r="AN65" i="3" s="1"/>
  <c r="AO65" i="3" s="1"/>
  <c r="L66" i="3" s="1"/>
  <c r="N65" i="3"/>
  <c r="O65" i="3" s="1"/>
  <c r="F66" i="3" s="1"/>
  <c r="BE60" i="4" l="1"/>
  <c r="BF60" i="4" s="1"/>
  <c r="BN60" i="4"/>
  <c r="BO60" i="4" s="1"/>
  <c r="AY61" i="6"/>
  <c r="BH61" i="6"/>
  <c r="BH61" i="5"/>
  <c r="AY61" i="5"/>
  <c r="AS66" i="3"/>
  <c r="AW66" i="3" s="1"/>
  <c r="G66" i="3"/>
  <c r="BP60" i="4" l="1"/>
  <c r="BQ60" i="4" s="1"/>
  <c r="BM61" i="6"/>
  <c r="BL61" i="6"/>
  <c r="BK61" i="6"/>
  <c r="BI61" i="6"/>
  <c r="BJ61" i="6"/>
  <c r="BD61" i="6"/>
  <c r="BC61" i="6"/>
  <c r="AZ61" i="6"/>
  <c r="BB61" i="6"/>
  <c r="BA61" i="6"/>
  <c r="BD61" i="5"/>
  <c r="BC61" i="5"/>
  <c r="BA61" i="5"/>
  <c r="AZ61" i="5"/>
  <c r="BB61" i="5"/>
  <c r="BM61" i="5"/>
  <c r="BL61" i="5"/>
  <c r="BJ61" i="5"/>
  <c r="BI61" i="5"/>
  <c r="BK61" i="5"/>
  <c r="BH66" i="3"/>
  <c r="AY66" i="3"/>
  <c r="H60" i="4" l="1"/>
  <c r="Q60" i="4"/>
  <c r="R60" i="4" s="1"/>
  <c r="AB60" i="4" s="1"/>
  <c r="AC60" i="4" s="1"/>
  <c r="AD60" i="4" s="1"/>
  <c r="AI60" i="4" s="1"/>
  <c r="BN61" i="6"/>
  <c r="BO61" i="6" s="1"/>
  <c r="BE61" i="6"/>
  <c r="BF61" i="6" s="1"/>
  <c r="BE61" i="5"/>
  <c r="BF61" i="5" s="1"/>
  <c r="BP61" i="6"/>
  <c r="BQ61" i="6" s="1"/>
  <c r="BN61" i="5"/>
  <c r="BO61" i="5" s="1"/>
  <c r="I60" i="4"/>
  <c r="BC66" i="3"/>
  <c r="BD66" i="3"/>
  <c r="BA66" i="3"/>
  <c r="AZ66" i="3"/>
  <c r="BB66" i="3"/>
  <c r="BL66" i="3"/>
  <c r="BM66" i="3"/>
  <c r="BI66" i="3"/>
  <c r="BJ66" i="3"/>
  <c r="BK66" i="3"/>
  <c r="AK60" i="4" l="1"/>
  <c r="AL60" i="4" s="1"/>
  <c r="AM60" i="4" s="1"/>
  <c r="AN60" i="4" s="1"/>
  <c r="AO60" i="4" s="1"/>
  <c r="L61" i="4" s="1"/>
  <c r="BP61" i="5"/>
  <c r="BQ61" i="5" s="1"/>
  <c r="Q61" i="5" s="1"/>
  <c r="R61" i="5" s="1"/>
  <c r="AB61" i="5" s="1"/>
  <c r="AC61" i="5" s="1"/>
  <c r="AD61" i="5" s="1"/>
  <c r="H61" i="6"/>
  <c r="Q61" i="6"/>
  <c r="R61" i="6" s="1"/>
  <c r="AB61" i="6" s="1"/>
  <c r="AC61" i="6" s="1"/>
  <c r="AD61" i="6" s="1"/>
  <c r="H61" i="5"/>
  <c r="K60" i="4"/>
  <c r="M60" i="4"/>
  <c r="BE66" i="3"/>
  <c r="BF66" i="3" s="1"/>
  <c r="BN66" i="3"/>
  <c r="BO66" i="3" s="1"/>
  <c r="AI61" i="6" l="1"/>
  <c r="AK61" i="6"/>
  <c r="AL61" i="6" s="1"/>
  <c r="I61" i="6"/>
  <c r="AK61" i="5"/>
  <c r="AL61" i="5" s="1"/>
  <c r="AI61" i="5"/>
  <c r="I61" i="5"/>
  <c r="N60" i="4"/>
  <c r="BP66" i="3"/>
  <c r="BQ66" i="3" s="1"/>
  <c r="O60" i="4" l="1"/>
  <c r="F61" i="4" s="1"/>
  <c r="AM61" i="5"/>
  <c r="AN61" i="5" s="1"/>
  <c r="AO61" i="5" s="1"/>
  <c r="L62" i="5" s="1"/>
  <c r="K61" i="6"/>
  <c r="M61" i="6"/>
  <c r="AM61" i="6"/>
  <c r="AN61" i="6" s="1"/>
  <c r="AO61" i="6" s="1"/>
  <c r="L62" i="6" s="1"/>
  <c r="K61" i="5"/>
  <c r="M61" i="5"/>
  <c r="H66" i="3"/>
  <c r="I66" i="3" s="1"/>
  <c r="K66" i="3" s="1"/>
  <c r="Q66" i="3"/>
  <c r="R66" i="3" s="1"/>
  <c r="AS61" i="4" l="1"/>
  <c r="AW61" i="4" s="1"/>
  <c r="G61" i="4"/>
  <c r="AB66" i="3"/>
  <c r="AC66" i="3" s="1"/>
  <c r="AD66" i="3" s="1"/>
  <c r="AK66" i="3" s="1"/>
  <c r="AL66" i="3" s="1"/>
  <c r="M66" i="3"/>
  <c r="N66" i="3" s="1"/>
  <c r="O66" i="3" s="1"/>
  <c r="N61" i="6"/>
  <c r="O61" i="6" s="1"/>
  <c r="F62" i="6" s="1"/>
  <c r="AS62" i="6" s="1"/>
  <c r="AW62" i="6" s="1"/>
  <c r="G62" i="6"/>
  <c r="N61" i="5"/>
  <c r="O61" i="5" s="1"/>
  <c r="F62" i="5" s="1"/>
  <c r="BH61" i="4"/>
  <c r="AY61" i="4"/>
  <c r="AI66" i="3"/>
  <c r="BH62" i="6" l="1"/>
  <c r="AY62" i="6"/>
  <c r="AS62" i="5"/>
  <c r="AW62" i="5" s="1"/>
  <c r="G62" i="5"/>
  <c r="BD61" i="4"/>
  <c r="BC61" i="4"/>
  <c r="BA61" i="4"/>
  <c r="BB61" i="4"/>
  <c r="AZ61" i="4"/>
  <c r="BM61" i="4"/>
  <c r="BL61" i="4"/>
  <c r="BJ61" i="4"/>
  <c r="BI61" i="4"/>
  <c r="BK61" i="4"/>
  <c r="AM66" i="3"/>
  <c r="AN66" i="3" s="1"/>
  <c r="AO66" i="3" s="1"/>
  <c r="BE61" i="4" l="1"/>
  <c r="BF61" i="4" s="1"/>
  <c r="BD62" i="6"/>
  <c r="BC62" i="6"/>
  <c r="BA62" i="6"/>
  <c r="BB62" i="6"/>
  <c r="AZ62" i="6"/>
  <c r="BE62" i="6" s="1"/>
  <c r="BF62" i="6" s="1"/>
  <c r="BM62" i="6"/>
  <c r="BL62" i="6"/>
  <c r="BJ62" i="6"/>
  <c r="BI62" i="6"/>
  <c r="BK62" i="6"/>
  <c r="BH62" i="5"/>
  <c r="AY62" i="5"/>
  <c r="BN61" i="4"/>
  <c r="BO61" i="4" s="1"/>
  <c r="BP61" i="4" l="1"/>
  <c r="BQ61" i="4" s="1"/>
  <c r="H61" i="4" s="1"/>
  <c r="BN62" i="6"/>
  <c r="BO62" i="6" s="1"/>
  <c r="BP62" i="6" s="1"/>
  <c r="BQ62" i="6" s="1"/>
  <c r="BD62" i="5"/>
  <c r="BC62" i="5"/>
  <c r="BA62" i="5"/>
  <c r="AZ62" i="5"/>
  <c r="BB62" i="5"/>
  <c r="BM62" i="5"/>
  <c r="BL62" i="5"/>
  <c r="BJ62" i="5"/>
  <c r="BK62" i="5"/>
  <c r="BI62" i="5"/>
  <c r="Q61" i="4" l="1"/>
  <c r="R61" i="4" s="1"/>
  <c r="AB61" i="4" s="1"/>
  <c r="AC61" i="4" s="1"/>
  <c r="AD61" i="4" s="1"/>
  <c r="AI61" i="4" s="1"/>
  <c r="H62" i="6"/>
  <c r="Q62" i="6"/>
  <c r="R62" i="6" s="1"/>
  <c r="AB62" i="6" s="1"/>
  <c r="AC62" i="6" s="1"/>
  <c r="AD62" i="6" s="1"/>
  <c r="BE62" i="5"/>
  <c r="BF62" i="5" s="1"/>
  <c r="BN62" i="5"/>
  <c r="BO62" i="5" s="1"/>
  <c r="I61" i="4"/>
  <c r="AK61" i="4" l="1"/>
  <c r="AL61" i="4" s="1"/>
  <c r="AM61" i="4" s="1"/>
  <c r="AN61" i="4" s="1"/>
  <c r="AO61" i="4" s="1"/>
  <c r="L62" i="4" s="1"/>
  <c r="BP62" i="5"/>
  <c r="AK62" i="6"/>
  <c r="AL62" i="6" s="1"/>
  <c r="AI62" i="6"/>
  <c r="I62" i="6"/>
  <c r="BQ62" i="5"/>
  <c r="K61" i="4"/>
  <c r="M61" i="4"/>
  <c r="AM62" i="6" l="1"/>
  <c r="AN62" i="6" s="1"/>
  <c r="AO62" i="6" s="1"/>
  <c r="L63" i="6" s="1"/>
  <c r="K62" i="6"/>
  <c r="M62" i="6"/>
  <c r="H62" i="5"/>
  <c r="Q62" i="5"/>
  <c r="R62" i="5" s="1"/>
  <c r="AB62" i="5" s="1"/>
  <c r="AC62" i="5" s="1"/>
  <c r="AD62" i="5" s="1"/>
  <c r="N61" i="4"/>
  <c r="O61" i="4" l="1"/>
  <c r="F62" i="4" s="1"/>
  <c r="N62" i="6"/>
  <c r="O62" i="6" s="1"/>
  <c r="F63" i="6" s="1"/>
  <c r="AK62" i="5"/>
  <c r="AL62" i="5" s="1"/>
  <c r="AI62" i="5"/>
  <c r="I62" i="5"/>
  <c r="AS62" i="4" l="1"/>
  <c r="AW62" i="4" s="1"/>
  <c r="G62" i="4"/>
  <c r="AM62" i="5"/>
  <c r="AN62" i="5" s="1"/>
  <c r="AO62" i="5" s="1"/>
  <c r="L63" i="5" s="1"/>
  <c r="AS63" i="6"/>
  <c r="AW63" i="6" s="1"/>
  <c r="G63" i="6"/>
  <c r="K62" i="5"/>
  <c r="M62" i="5"/>
  <c r="BH62" i="4"/>
  <c r="AY62" i="4"/>
  <c r="BH63" i="6" l="1"/>
  <c r="AY63" i="6"/>
  <c r="N62" i="5"/>
  <c r="O62" i="5" s="1"/>
  <c r="F63" i="5" s="1"/>
  <c r="BD62" i="4"/>
  <c r="BC62" i="4"/>
  <c r="BA62" i="4"/>
  <c r="BB62" i="4"/>
  <c r="AZ62" i="4"/>
  <c r="BM62" i="4"/>
  <c r="BL62" i="4"/>
  <c r="BJ62" i="4"/>
  <c r="BK62" i="4"/>
  <c r="BI62" i="4"/>
  <c r="BE62" i="4" l="1"/>
  <c r="BF62" i="4" s="1"/>
  <c r="BD63" i="6"/>
  <c r="BC63" i="6"/>
  <c r="BB63" i="6"/>
  <c r="AZ63" i="6"/>
  <c r="BA63" i="6"/>
  <c r="BM63" i="6"/>
  <c r="BL63" i="6"/>
  <c r="BJ63" i="6"/>
  <c r="BI63" i="6"/>
  <c r="BK63" i="6"/>
  <c r="AS63" i="5"/>
  <c r="AW63" i="5" s="1"/>
  <c r="G63" i="5"/>
  <c r="BN62" i="4"/>
  <c r="BO62" i="4" s="1"/>
  <c r="BP62" i="4" s="1"/>
  <c r="BQ62" i="4" s="1"/>
  <c r="BE63" i="6" l="1"/>
  <c r="BF63" i="6" s="1"/>
  <c r="BN63" i="6"/>
  <c r="BO63" i="6" s="1"/>
  <c r="BP63" i="6" s="1"/>
  <c r="BQ63" i="6" s="1"/>
  <c r="BH63" i="5"/>
  <c r="AY63" i="5"/>
  <c r="H62" i="4"/>
  <c r="Q62" i="4"/>
  <c r="R62" i="4" s="1"/>
  <c r="AB62" i="4" s="1"/>
  <c r="AC62" i="4" s="1"/>
  <c r="AD62" i="4" s="1"/>
  <c r="H63" i="6" l="1"/>
  <c r="Q63" i="6"/>
  <c r="R63" i="6" s="1"/>
  <c r="AB63" i="6" s="1"/>
  <c r="AC63" i="6" s="1"/>
  <c r="AD63" i="6" s="1"/>
  <c r="BD63" i="5"/>
  <c r="BC63" i="5"/>
  <c r="BB63" i="5"/>
  <c r="AZ63" i="5"/>
  <c r="BA63" i="5"/>
  <c r="BM63" i="5"/>
  <c r="BL63" i="5"/>
  <c r="BI63" i="5"/>
  <c r="BK63" i="5"/>
  <c r="BJ63" i="5"/>
  <c r="AK62" i="4"/>
  <c r="AL62" i="4" s="1"/>
  <c r="AI62" i="4"/>
  <c r="I62" i="4"/>
  <c r="AM62" i="4" l="1"/>
  <c r="AN62" i="4" s="1"/>
  <c r="AO62" i="4" s="1"/>
  <c r="L63" i="4" s="1"/>
  <c r="BN63" i="5"/>
  <c r="BO63" i="5" s="1"/>
  <c r="AI63" i="6"/>
  <c r="AK63" i="6"/>
  <c r="AL63" i="6" s="1"/>
  <c r="I63" i="6"/>
  <c r="BE63" i="5"/>
  <c r="BF63" i="5" s="1"/>
  <c r="K62" i="4"/>
  <c r="M62" i="4"/>
  <c r="K63" i="6" l="1"/>
  <c r="M63" i="6"/>
  <c r="AM63" i="6"/>
  <c r="AN63" i="6" s="1"/>
  <c r="AO63" i="6" s="1"/>
  <c r="L64" i="6" s="1"/>
  <c r="BP63" i="5"/>
  <c r="BQ63" i="5" s="1"/>
  <c r="N62" i="4"/>
  <c r="O62" i="4" l="1"/>
  <c r="F63" i="4" s="1"/>
  <c r="N63" i="6"/>
  <c r="O63" i="6" s="1"/>
  <c r="F64" i="6" s="1"/>
  <c r="H63" i="5"/>
  <c r="Q63" i="5"/>
  <c r="R63" i="5" s="1"/>
  <c r="AB63" i="5" s="1"/>
  <c r="AC63" i="5" s="1"/>
  <c r="AD63" i="5" s="1"/>
  <c r="AS63" i="4" l="1"/>
  <c r="AW63" i="4" s="1"/>
  <c r="G63" i="4"/>
  <c r="AS64" i="6"/>
  <c r="AW64" i="6" s="1"/>
  <c r="G64" i="6"/>
  <c r="AK63" i="5"/>
  <c r="AL63" i="5" s="1"/>
  <c r="AI63" i="5"/>
  <c r="I63" i="5"/>
  <c r="BH63" i="4"/>
  <c r="AY63" i="4"/>
  <c r="AM63" i="5" l="1"/>
  <c r="AN63" i="5" s="1"/>
  <c r="AO63" i="5" s="1"/>
  <c r="L64" i="5" s="1"/>
  <c r="BH64" i="6"/>
  <c r="AY64" i="6"/>
  <c r="K63" i="5"/>
  <c r="M63" i="5"/>
  <c r="BD63" i="4"/>
  <c r="BC63" i="4"/>
  <c r="BA63" i="4"/>
  <c r="AZ63" i="4"/>
  <c r="BB63" i="4"/>
  <c r="BM63" i="4"/>
  <c r="BL63" i="4"/>
  <c r="BJ63" i="4"/>
  <c r="BI63" i="4"/>
  <c r="BK63" i="4"/>
  <c r="BE63" i="4" l="1"/>
  <c r="BF63" i="4" s="1"/>
  <c r="BD64" i="6"/>
  <c r="BC64" i="6"/>
  <c r="AZ64" i="6"/>
  <c r="BA64" i="6"/>
  <c r="BB64" i="6"/>
  <c r="BM64" i="6"/>
  <c r="BL64" i="6"/>
  <c r="BJ64" i="6"/>
  <c r="BK64" i="6"/>
  <c r="BI64" i="6"/>
  <c r="N63" i="5"/>
  <c r="O63" i="5" s="1"/>
  <c r="F64" i="5" s="1"/>
  <c r="BN63" i="4"/>
  <c r="BO63" i="4" s="1"/>
  <c r="BP63" i="4" s="1"/>
  <c r="BQ63" i="4" s="1"/>
  <c r="BE64" i="6" l="1"/>
  <c r="BF64" i="6" s="1"/>
  <c r="BN64" i="6"/>
  <c r="BO64" i="6" s="1"/>
  <c r="BP64" i="6" s="1"/>
  <c r="AS64" i="5"/>
  <c r="AW64" i="5" s="1"/>
  <c r="G64" i="5"/>
  <c r="H63" i="4"/>
  <c r="Q63" i="4"/>
  <c r="R63" i="4" s="1"/>
  <c r="AB63" i="4" s="1"/>
  <c r="AC63" i="4" s="1"/>
  <c r="AD63" i="4" s="1"/>
  <c r="BQ64" i="6" l="1"/>
  <c r="BH64" i="5"/>
  <c r="AY64" i="5"/>
  <c r="AI63" i="4"/>
  <c r="AK63" i="4"/>
  <c r="AL63" i="4" s="1"/>
  <c r="I63" i="4"/>
  <c r="H64" i="6" l="1"/>
  <c r="Q64" i="6"/>
  <c r="R64" i="6" s="1"/>
  <c r="AB64" i="6" s="1"/>
  <c r="AC64" i="6" s="1"/>
  <c r="AD64" i="6" s="1"/>
  <c r="BD64" i="5"/>
  <c r="BC64" i="5"/>
  <c r="BA64" i="5"/>
  <c r="AZ64" i="5"/>
  <c r="BB64" i="5"/>
  <c r="BM64" i="5"/>
  <c r="BL64" i="5"/>
  <c r="BJ64" i="5"/>
  <c r="BI64" i="5"/>
  <c r="BK64" i="5"/>
  <c r="K63" i="4"/>
  <c r="M63" i="4"/>
  <c r="AM63" i="4"/>
  <c r="AN63" i="4" s="1"/>
  <c r="AO63" i="4" s="1"/>
  <c r="L64" i="4" s="1"/>
  <c r="BE64" i="5" l="1"/>
  <c r="BF64" i="5" s="1"/>
  <c r="AK64" i="6"/>
  <c r="AL64" i="6" s="1"/>
  <c r="AI64" i="6"/>
  <c r="I64" i="6"/>
  <c r="BN64" i="5"/>
  <c r="BO64" i="5" s="1"/>
  <c r="BP64" i="5" s="1"/>
  <c r="BQ64" i="5" s="1"/>
  <c r="N63" i="4"/>
  <c r="F64" i="4" l="1"/>
  <c r="AM64" i="6"/>
  <c r="AN64" i="6" s="1"/>
  <c r="AO64" i="6" s="1"/>
  <c r="L65" i="6" s="1"/>
  <c r="K64" i="6"/>
  <c r="M64" i="6"/>
  <c r="H64" i="5"/>
  <c r="Q64" i="5"/>
  <c r="R64" i="5" s="1"/>
  <c r="AB64" i="5" s="1"/>
  <c r="AC64" i="5" s="1"/>
  <c r="AD64" i="5" s="1"/>
  <c r="G64" i="4" l="1"/>
  <c r="AS64" i="4"/>
  <c r="AW64" i="4" s="1"/>
  <c r="BH64" i="4" s="1"/>
  <c r="N64" i="6"/>
  <c r="O64" i="6" s="1"/>
  <c r="F65" i="6" s="1"/>
  <c r="AK64" i="5"/>
  <c r="AL64" i="5" s="1"/>
  <c r="AI64" i="5"/>
  <c r="I64" i="5"/>
  <c r="AY64" i="4" l="1"/>
  <c r="AM64" i="5"/>
  <c r="AN64" i="5" s="1"/>
  <c r="AO64" i="5" s="1"/>
  <c r="L65" i="5" s="1"/>
  <c r="AS65" i="6"/>
  <c r="AW65" i="6" s="1"/>
  <c r="G65" i="6"/>
  <c r="K64" i="5"/>
  <c r="M64" i="5"/>
  <c r="BD64" i="4"/>
  <c r="BC64" i="4"/>
  <c r="BA64" i="4"/>
  <c r="BB64" i="4"/>
  <c r="AZ64" i="4"/>
  <c r="BM64" i="4"/>
  <c r="BL64" i="4"/>
  <c r="BJ64" i="4"/>
  <c r="BK64" i="4"/>
  <c r="BI64" i="4"/>
  <c r="BE64" i="4" l="1"/>
  <c r="BF64" i="4" s="1"/>
  <c r="AY65" i="6"/>
  <c r="BH65" i="6"/>
  <c r="N64" i="5"/>
  <c r="O64" i="5" s="1"/>
  <c r="F65" i="5" s="1"/>
  <c r="BN64" i="4"/>
  <c r="BO64" i="4" s="1"/>
  <c r="BP64" i="4" l="1"/>
  <c r="BQ64" i="4" s="1"/>
  <c r="BM65" i="6"/>
  <c r="BL65" i="6"/>
  <c r="BJ65" i="6"/>
  <c r="BI65" i="6"/>
  <c r="BK65" i="6"/>
  <c r="BD65" i="6"/>
  <c r="BC65" i="6"/>
  <c r="BA65" i="6"/>
  <c r="BB65" i="6"/>
  <c r="AZ65" i="6"/>
  <c r="AS65" i="5"/>
  <c r="AW65" i="5" s="1"/>
  <c r="G65" i="5"/>
  <c r="H64" i="4"/>
  <c r="Q64" i="4"/>
  <c r="R64" i="4" s="1"/>
  <c r="AB64" i="4" s="1"/>
  <c r="AC64" i="4" s="1"/>
  <c r="AD64" i="4" s="1"/>
  <c r="BN65" i="6" l="1"/>
  <c r="BO65" i="6" s="1"/>
  <c r="BE65" i="6"/>
  <c r="BF65" i="6" s="1"/>
  <c r="BH65" i="5"/>
  <c r="AY65" i="5"/>
  <c r="AK64" i="4"/>
  <c r="AL64" i="4" s="1"/>
  <c r="AI64" i="4"/>
  <c r="I64" i="4"/>
  <c r="AM64" i="4" l="1"/>
  <c r="AN64" i="4" s="1"/>
  <c r="AO64" i="4" s="1"/>
  <c r="L65" i="4" s="1"/>
  <c r="BP65" i="6"/>
  <c r="BQ65" i="6" s="1"/>
  <c r="BD65" i="5"/>
  <c r="BC65" i="5"/>
  <c r="BA65" i="5"/>
  <c r="AZ65" i="5"/>
  <c r="BB65" i="5"/>
  <c r="BM65" i="5"/>
  <c r="BL65" i="5"/>
  <c r="BI65" i="5"/>
  <c r="BJ65" i="5"/>
  <c r="BK65" i="5"/>
  <c r="K64" i="4"/>
  <c r="M64" i="4"/>
  <c r="BE65" i="5" l="1"/>
  <c r="BF65" i="5" s="1"/>
  <c r="BN65" i="5"/>
  <c r="BO65" i="5" s="1"/>
  <c r="BP65" i="5" s="1"/>
  <c r="BQ65" i="5" s="1"/>
  <c r="H65" i="6"/>
  <c r="Q65" i="6"/>
  <c r="R65" i="6" s="1"/>
  <c r="AB65" i="6" s="1"/>
  <c r="AC65" i="6" s="1"/>
  <c r="AD65" i="6" s="1"/>
  <c r="N64" i="4"/>
  <c r="O64" i="4" l="1"/>
  <c r="F65" i="4" s="1"/>
  <c r="AI65" i="6"/>
  <c r="AK65" i="6"/>
  <c r="AL65" i="6" s="1"/>
  <c r="I65" i="6"/>
  <c r="H65" i="5"/>
  <c r="Q65" i="5"/>
  <c r="R65" i="5" s="1"/>
  <c r="AB65" i="5" s="1"/>
  <c r="AC65" i="5" s="1"/>
  <c r="AD65" i="5" s="1"/>
  <c r="G65" i="4" l="1"/>
  <c r="AS65" i="4"/>
  <c r="AW65" i="4" s="1"/>
  <c r="AY65" i="4" s="1"/>
  <c r="K65" i="6"/>
  <c r="M65" i="6"/>
  <c r="AM65" i="6"/>
  <c r="AN65" i="6" s="1"/>
  <c r="AO65" i="6" s="1"/>
  <c r="L66" i="6" s="1"/>
  <c r="AK65" i="5"/>
  <c r="AL65" i="5" s="1"/>
  <c r="AI65" i="5"/>
  <c r="AM65" i="5" s="1"/>
  <c r="AN65" i="5" s="1"/>
  <c r="AO65" i="5" s="1"/>
  <c r="L66" i="5" s="1"/>
  <c r="I65" i="5"/>
  <c r="BH65" i="4" l="1"/>
  <c r="N65" i="6"/>
  <c r="O65" i="6" s="1"/>
  <c r="F66" i="6" s="1"/>
  <c r="K65" i="5"/>
  <c r="M65" i="5"/>
  <c r="BM65" i="4"/>
  <c r="BL65" i="4"/>
  <c r="BJ65" i="4"/>
  <c r="BI65" i="4"/>
  <c r="BK65" i="4"/>
  <c r="BD65" i="4"/>
  <c r="BC65" i="4"/>
  <c r="AZ65" i="4"/>
  <c r="BA65" i="4"/>
  <c r="BB65" i="4"/>
  <c r="BE65" i="4" l="1"/>
  <c r="BF65" i="4" s="1"/>
  <c r="BN65" i="4"/>
  <c r="BO65" i="4" s="1"/>
  <c r="BP65" i="4" s="1"/>
  <c r="BQ65" i="4" s="1"/>
  <c r="AS66" i="6"/>
  <c r="AW66" i="6" s="1"/>
  <c r="G66" i="6"/>
  <c r="N65" i="5"/>
  <c r="O65" i="5" s="1"/>
  <c r="F66" i="5" s="1"/>
  <c r="BH66" i="6" l="1"/>
  <c r="AY66" i="6"/>
  <c r="AS66" i="5"/>
  <c r="AW66" i="5" s="1"/>
  <c r="G66" i="5"/>
  <c r="H65" i="4"/>
  <c r="Q65" i="4"/>
  <c r="R65" i="4" s="1"/>
  <c r="AB65" i="4" s="1"/>
  <c r="AC65" i="4" s="1"/>
  <c r="AD65" i="4" s="1"/>
  <c r="BD66" i="6" l="1"/>
  <c r="BC66" i="6"/>
  <c r="AZ66" i="6"/>
  <c r="BA66" i="6"/>
  <c r="BB66" i="6"/>
  <c r="BM66" i="6"/>
  <c r="BL66" i="6"/>
  <c r="BJ66" i="6"/>
  <c r="BK66" i="6"/>
  <c r="BI66" i="6"/>
  <c r="BH66" i="5"/>
  <c r="AY66" i="5"/>
  <c r="AI65" i="4"/>
  <c r="AK65" i="4"/>
  <c r="AL65" i="4" s="1"/>
  <c r="I65" i="4"/>
  <c r="BE66" i="6" l="1"/>
  <c r="BF66" i="6" s="1"/>
  <c r="BN66" i="6"/>
  <c r="BO66" i="6" s="1"/>
  <c r="BP66" i="6" s="1"/>
  <c r="BD66" i="5"/>
  <c r="BC66" i="5"/>
  <c r="AZ66" i="5"/>
  <c r="BB66" i="5"/>
  <c r="BA66" i="5"/>
  <c r="BM66" i="5"/>
  <c r="BL66" i="5"/>
  <c r="BI66" i="5"/>
  <c r="BJ66" i="5"/>
  <c r="BK66" i="5"/>
  <c r="K65" i="4"/>
  <c r="M65" i="4"/>
  <c r="AM65" i="4"/>
  <c r="AN65" i="4" s="1"/>
  <c r="AO65" i="4" s="1"/>
  <c r="L66" i="4" s="1"/>
  <c r="BN66" i="5" l="1"/>
  <c r="BO66" i="5" s="1"/>
  <c r="BQ66" i="6"/>
  <c r="BE66" i="5"/>
  <c r="BF66" i="5" s="1"/>
  <c r="N65" i="4"/>
  <c r="O65" i="4" l="1"/>
  <c r="F66" i="4" s="1"/>
  <c r="H66" i="6"/>
  <c r="I66" i="6" s="1"/>
  <c r="Q66" i="6"/>
  <c r="R66" i="6" s="1"/>
  <c r="AB66" i="6" s="1"/>
  <c r="AC66" i="6" s="1"/>
  <c r="AD66" i="6" s="1"/>
  <c r="BP66" i="5"/>
  <c r="BQ66" i="5" s="1"/>
  <c r="G66" i="4" l="1"/>
  <c r="AS66" i="4"/>
  <c r="AW66" i="4" s="1"/>
  <c r="BH66" i="4" s="1"/>
  <c r="AK66" i="6"/>
  <c r="AL66" i="6" s="1"/>
  <c r="AI66" i="6"/>
  <c r="AM66" i="6" s="1"/>
  <c r="AN66" i="6" s="1"/>
  <c r="AO66" i="6" s="1"/>
  <c r="K66" i="6"/>
  <c r="M66" i="6"/>
  <c r="H66" i="5"/>
  <c r="I66" i="5" s="1"/>
  <c r="Q66" i="5"/>
  <c r="R66" i="5" s="1"/>
  <c r="AB66" i="5" s="1"/>
  <c r="AC66" i="5" s="1"/>
  <c r="AD66" i="5" s="1"/>
  <c r="AY66" i="4" l="1"/>
  <c r="N66" i="6"/>
  <c r="O66" i="6" s="1"/>
  <c r="AK66" i="5"/>
  <c r="AL66" i="5" s="1"/>
  <c r="AI66" i="5"/>
  <c r="K66" i="5"/>
  <c r="M66" i="5"/>
  <c r="BD66" i="4"/>
  <c r="BC66" i="4"/>
  <c r="BA66" i="4"/>
  <c r="BB66" i="4"/>
  <c r="AZ66" i="4"/>
  <c r="BM66" i="4"/>
  <c r="BL66" i="4"/>
  <c r="BJ66" i="4"/>
  <c r="BK66" i="4"/>
  <c r="BI66" i="4"/>
  <c r="AM66" i="5" l="1"/>
  <c r="AN66" i="5" s="1"/>
  <c r="AO66" i="5" s="1"/>
  <c r="BE66" i="4"/>
  <c r="BF66" i="4" s="1"/>
  <c r="N66" i="5"/>
  <c r="O66" i="5" s="1"/>
  <c r="BN66" i="4"/>
  <c r="BO66" i="4" s="1"/>
  <c r="BP66" i="4" s="1"/>
  <c r="BQ66" i="4" s="1"/>
  <c r="H66" i="4" l="1"/>
  <c r="I66" i="4" s="1"/>
  <c r="Q66" i="4"/>
  <c r="R66" i="4" s="1"/>
  <c r="AB66" i="4" s="1"/>
  <c r="AC66" i="4" s="1"/>
  <c r="AD66" i="4" s="1"/>
  <c r="AK66" i="4" l="1"/>
  <c r="AL66" i="4" s="1"/>
  <c r="AI66" i="4"/>
  <c r="AM66" i="4" s="1"/>
  <c r="AN66" i="4" s="1"/>
  <c r="AO66" i="4" s="1"/>
  <c r="K66" i="4"/>
  <c r="M66" i="4"/>
  <c r="N66" i="4" l="1"/>
  <c r="O66" i="4" s="1"/>
  <c r="F8" i="2" s="1"/>
</calcChain>
</file>

<file path=xl/sharedStrings.xml><?xml version="1.0" encoding="utf-8"?>
<sst xmlns="http://schemas.openxmlformats.org/spreadsheetml/2006/main" count="364" uniqueCount="88">
  <si>
    <t>L</t>
  </si>
  <si>
    <t>P</t>
  </si>
  <si>
    <t>s</t>
  </si>
  <si>
    <t>Z</t>
  </si>
  <si>
    <t>Part 1</t>
  </si>
  <si>
    <t>Part 2</t>
  </si>
  <si>
    <t>Part 3</t>
  </si>
  <si>
    <t>Part 4</t>
  </si>
  <si>
    <t>Part 5</t>
  </si>
  <si>
    <t>Z(1)</t>
  </si>
  <si>
    <t>Err(1)</t>
  </si>
  <si>
    <t>Z(2)</t>
  </si>
  <si>
    <t>Err(2)</t>
  </si>
  <si>
    <t>Slope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</si>
  <si>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</si>
  <si>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</si>
  <si>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</si>
  <si>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</si>
  <si>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</si>
  <si>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</si>
  <si>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</si>
  <si>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</si>
  <si>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</si>
  <si>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</si>
  <si>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</si>
  <si>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ε/3.7065</t>
  </si>
  <si>
    <t>5.0452/Nre</t>
  </si>
  <si>
    <t>log(ε1.1098/2.8257+(7.149/Nre)0.8981)</t>
  </si>
  <si>
    <t>ε</t>
  </si>
  <si>
    <t>MW</t>
  </si>
  <si>
    <t>A</t>
  </si>
  <si>
    <t>B</t>
  </si>
  <si>
    <t>C</t>
  </si>
  <si>
    <t>q</t>
  </si>
  <si>
    <r>
      <t>γ</t>
    </r>
    <r>
      <rPr>
        <vertAlign val="subscript"/>
        <sz val="11"/>
        <color theme="1"/>
        <rFont val="Calibri"/>
        <family val="2"/>
        <scheme val="minor"/>
      </rPr>
      <t>g</t>
    </r>
  </si>
  <si>
    <t>D</t>
  </si>
  <si>
    <t>in.</t>
  </si>
  <si>
    <t>psia</t>
  </si>
  <si>
    <t>T(surface)</t>
  </si>
  <si>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</t>
    </r>
  </si>
  <si>
    <t>T(bottomhole)</t>
  </si>
  <si>
    <t>µg (cp)</t>
  </si>
  <si>
    <t>ε1.1098/2.8257</t>
  </si>
  <si>
    <t>(7.149/Nre)0.8981</t>
  </si>
  <si>
    <r>
      <t>T(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F)</t>
    </r>
  </si>
  <si>
    <r>
      <t>T(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</si>
  <si>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r>
      <t>P</t>
    </r>
    <r>
      <rPr>
        <vertAlign val="subscript"/>
        <sz val="11"/>
        <color theme="1"/>
        <rFont val="Calibri"/>
        <family val="2"/>
        <scheme val="minor"/>
      </rPr>
      <t>avg</t>
    </r>
  </si>
  <si>
    <r>
      <t>Z</t>
    </r>
    <r>
      <rPr>
        <vertAlign val="subscript"/>
        <sz val="11"/>
        <color theme="1"/>
        <rFont val="Calibri"/>
        <family val="2"/>
        <scheme val="minor"/>
      </rPr>
      <t>avg</t>
    </r>
  </si>
  <si>
    <r>
      <t>f</t>
    </r>
    <r>
      <rPr>
        <vertAlign val="subscript"/>
        <sz val="11"/>
        <color theme="1"/>
        <rFont val="Calibri"/>
        <family val="2"/>
        <scheme val="minor"/>
      </rPr>
      <t>f</t>
    </r>
  </si>
  <si>
    <r>
      <t>f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(Z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scheme val="minor"/>
      </rPr>
      <t>*T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scheme val="minor"/>
      </rPr>
      <t>*q)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/(sin(θ)D5)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</si>
  <si>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</si>
  <si>
    <r>
      <t>EXP(Bρ</t>
    </r>
    <r>
      <rPr>
        <vertAlign val="subscript"/>
        <sz val="11"/>
        <color theme="1"/>
        <rFont val="Calibri"/>
        <family val="2"/>
        <scheme val="minor"/>
      </rPr>
      <t>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</si>
  <si>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r>
      <t>N</t>
    </r>
    <r>
      <rPr>
        <vertAlign val="subscript"/>
        <sz val="11"/>
        <color theme="1"/>
        <rFont val="Calibri"/>
        <family val="2"/>
        <scheme val="minor"/>
      </rPr>
      <t>re</t>
    </r>
  </si>
  <si>
    <r>
      <t>1/√f</t>
    </r>
    <r>
      <rPr>
        <vertAlign val="subscript"/>
        <sz val="11"/>
        <color theme="1"/>
        <rFont val="Calibri"/>
        <family val="2"/>
        <scheme val="minor"/>
      </rPr>
      <t>f</t>
    </r>
  </si>
  <si>
    <r>
      <t>(1/√f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</si>
  <si>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</t>
    </r>
    <r>
      <rPr>
        <vertAlign val="subscript"/>
        <sz val="11"/>
        <color theme="1"/>
        <rFont val="Calibri"/>
        <family val="2"/>
        <scheme val="minor"/>
      </rPr>
      <t>c</t>
    </r>
  </si>
  <si>
    <r>
      <t>T</t>
    </r>
    <r>
      <rPr>
        <vertAlign val="subscript"/>
        <sz val="11"/>
        <color theme="1"/>
        <rFont val="Calibri"/>
        <family val="2"/>
        <scheme val="minor"/>
      </rPr>
      <t>pr</t>
    </r>
  </si>
  <si>
    <r>
      <t>P</t>
    </r>
    <r>
      <rPr>
        <vertAlign val="subscript"/>
        <sz val="11"/>
        <color theme="1"/>
        <rFont val="Calibri"/>
        <family val="2"/>
        <scheme val="minor"/>
      </rPr>
      <t>pr</t>
    </r>
  </si>
  <si>
    <r>
      <t>ρ</t>
    </r>
    <r>
      <rPr>
        <vertAlign val="subscript"/>
        <sz val="11"/>
        <color theme="1"/>
        <rFont val="Calibri"/>
        <family val="2"/>
        <scheme val="minor"/>
      </rPr>
      <t>pr</t>
    </r>
  </si>
  <si>
    <r>
      <rPr>
        <sz val="11"/>
        <color theme="1"/>
        <rFont val="Symbol"/>
        <family val="1"/>
        <charset val="2"/>
      </rPr>
      <t>g</t>
    </r>
    <r>
      <rPr>
        <vertAlign val="subscript"/>
        <sz val="11"/>
        <color theme="1"/>
        <rFont val="Calibri Light"/>
        <family val="2"/>
        <scheme val="major"/>
      </rPr>
      <t>g</t>
    </r>
  </si>
  <si>
    <r>
      <t>P</t>
    </r>
    <r>
      <rPr>
        <vertAlign val="subscript"/>
        <sz val="11"/>
        <color theme="1"/>
        <rFont val="Calibri"/>
        <family val="2"/>
        <scheme val="minor"/>
      </rPr>
      <t>(avg)</t>
    </r>
  </si>
  <si>
    <t>psi</t>
  </si>
  <si>
    <t>According to text book,</t>
  </si>
  <si>
    <r>
      <t>P</t>
    </r>
    <r>
      <rPr>
        <vertAlign val="subscript"/>
        <sz val="11"/>
        <color theme="1"/>
        <rFont val="Calibri"/>
        <family val="2"/>
        <scheme val="minor"/>
      </rPr>
      <t>wf</t>
    </r>
  </si>
  <si>
    <r>
      <t>ρ</t>
    </r>
    <r>
      <rPr>
        <vertAlign val="subscript"/>
        <sz val="11"/>
        <color theme="1"/>
        <rFont val="Calibri"/>
        <family val="2"/>
        <scheme val="minor"/>
      </rPr>
      <t xml:space="preserve">g
</t>
    </r>
    <r>
      <rPr>
        <sz val="11"/>
        <color theme="1"/>
        <rFont val="Calibri"/>
        <family val="2"/>
        <scheme val="minor"/>
      </rPr>
      <t>(lbm/ft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</si>
  <si>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ρ</t>
    </r>
    <r>
      <rPr>
        <vertAlign val="subscript"/>
        <sz val="11"/>
        <color theme="1"/>
        <rFont val="Calibri"/>
        <family val="2"/>
        <scheme val="minor"/>
      </rPr>
      <t xml:space="preserve">g
</t>
    </r>
    <r>
      <rPr>
        <sz val="11"/>
        <color theme="1"/>
        <rFont val="Calibri"/>
        <family val="2"/>
        <scheme val="minor"/>
      </rPr>
      <t>(g/cm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</si>
  <si>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c 
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</si>
  <si>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c
</t>
    </r>
    <r>
      <rPr>
        <sz val="11"/>
        <color theme="1"/>
        <rFont val="Calibri"/>
        <family val="2"/>
        <scheme val="minor"/>
      </rPr>
      <t xml:space="preserve"> (psi)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</si>
  <si>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</si>
  <si>
    <r>
      <t>T(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  <r>
      <rPr>
        <vertAlign val="subscript"/>
        <sz val="11"/>
        <color theme="1"/>
        <rFont val="Calibri"/>
        <family val="2"/>
        <scheme val="minor"/>
      </rPr>
      <t>avg</t>
    </r>
  </si>
  <si>
    <r>
      <t>T
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F)</t>
    </r>
  </si>
  <si>
    <r>
      <t>T
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</si>
  <si>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t>P
(psi)</t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</si>
  <si>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c
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R)</t>
    </r>
  </si>
  <si>
    <t>For IPR Curve,</t>
  </si>
  <si>
    <r>
      <t>P</t>
    </r>
    <r>
      <rPr>
        <vertAlign val="subscript"/>
        <sz val="11"/>
        <color theme="1"/>
        <rFont val="Calibri"/>
        <family val="2"/>
        <scheme val="minor"/>
      </rPr>
      <t>avg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 P</t>
    </r>
    <r>
      <rPr>
        <vertAlign val="subscript"/>
        <sz val="11"/>
        <color theme="1"/>
        <rFont val="Calibri"/>
        <family val="2"/>
        <scheme val="minor"/>
      </rPr>
      <t>wf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</si>
  <si>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</t>
    </r>
    <r>
      <rPr>
        <vertAlign val="subscript"/>
        <sz val="11"/>
        <color theme="1"/>
        <rFont val="Calibri"/>
        <family val="2"/>
        <scheme val="minor"/>
      </rPr>
      <t>wf</t>
    </r>
    <r>
      <rPr>
        <sz val="11"/>
        <color theme="1"/>
        <rFont val="Calibri"/>
        <family val="2"/>
        <scheme val="minor"/>
      </rPr>
      <t xml:space="preserve">
(Psi)</t>
    </r>
  </si>
  <si>
    <t xml:space="preserve">For VFP Curve, </t>
  </si>
  <si>
    <t>MSCF/d</t>
  </si>
  <si>
    <t>a</t>
  </si>
  <si>
    <t>b</t>
  </si>
  <si>
    <t>c</t>
  </si>
  <si>
    <t>q
(MSCF/d)</t>
  </si>
  <si>
    <t>For D = 2 in.</t>
  </si>
  <si>
    <t>For D = 2.44 in.</t>
  </si>
  <si>
    <t>For D = 3 in.</t>
  </si>
  <si>
    <t>q 
(MSCF/d)</t>
  </si>
  <si>
    <t>For D = 3.48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</si>
</sst>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0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4"/>
      <color indexed="8"/>
      <name val="Calibri"/>
      <family val="2"/>
    </font>
    <font>
      <sz val="11"/>
      <color indexed="8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vertAlign val="subscript"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1" fillId="0" borderId="0" xfId="0" applyFont="1"/>
    <xf numFmtId="0" fontId="0" fillId="0" borderId="1" xfId="0" applyBorder="1"/>
    <xf numFmtId="0" fontId="8" fillId="0" borderId="1" xfId="0" applyFont="1" applyBorder="1"/>
    <xf numFmtId="0" fontId="5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1" applyFont="1" applyAlignment="1">
      <alignment horizontal="center" vertical="center" wrapText="1"/>
    </xf>
    <xf numFmtId="0" fontId="5" fillId="2" borderId="0" xfId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colors>
    <mruColors>
      <color rgb="FF007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IPR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Sheet5!$N$12:$N$22</c:f>
              <c:numCache>
                <c:formatCode>General</c:formatCode>
                <c:ptCount val="11"/>
                <c:pt idx="0">
                  <c:v>13491.283461902967</c:v>
                </c:pt>
                <c:pt idx="1">
                  <c:v>13411.144448531339</c:v>
                </c:pt>
                <c:pt idx="2">
                  <c:v>13167.826101191153</c:v>
                </c:pt>
                <c:pt idx="3">
                  <c:v>12752.072476103478</c:v>
                </c:pt>
                <c:pt idx="4">
                  <c:v>12146.351441024713</c:v>
                </c:pt>
                <c:pt idx="5">
                  <c:v>11320.508469714661</c:v>
                </c:pt>
                <c:pt idx="6">
                  <c:v>10221.904806744147</c:v>
                </c:pt>
                <c:pt idx="7">
                  <c:v>8749.6720245448123</c:v>
                </c:pt>
                <c:pt idx="8">
                  <c:v>6664.5227578557133</c:v>
                </c:pt>
                <c:pt idx="9">
                  <c:v>2882.3370704471067</c:v>
                </c:pt>
                <c:pt idx="10">
                  <c:v>0</c:v>
                </c:pt>
              </c:numCache>
            </c:numRef>
          </c:xVal>
          <c:yVal>
            <c:numRef>
              <c:f>Sheet5!$I$12:$I$22</c:f>
              <c:numCache>
                <c:formatCode>General</c:formatCode>
                <c:ptCount val="1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4613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3-4865-8033-53CD42ED03CA}"/>
            </c:ext>
          </c:extLst>
        </c:ser>
        <c:ser>
          <c:idx val="1"/>
          <c:order val="1"/>
          <c:tx>
            <c:v>VFP(2)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Sheet5!$B$7:$B$10</c:f>
              <c:numCache>
                <c:formatCode>General</c:formatCode>
                <c:ptCount val="4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</c:numCache>
            </c:numRef>
          </c:xVal>
          <c:yVal>
            <c:numRef>
              <c:f>Sheet5!$C$7:$C$10</c:f>
              <c:numCache>
                <c:formatCode>General</c:formatCode>
                <c:ptCount val="4"/>
                <c:pt idx="0">
                  <c:v>2058.66</c:v>
                </c:pt>
                <c:pt idx="1">
                  <c:v>2518.9450000000002</c:v>
                </c:pt>
                <c:pt idx="2">
                  <c:v>2984.6219999999998</c:v>
                </c:pt>
                <c:pt idx="3">
                  <c:v>3456.223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93-4865-8033-53CD42ED03CA}"/>
            </c:ext>
          </c:extLst>
        </c:ser>
        <c:ser>
          <c:idx val="2"/>
          <c:order val="2"/>
          <c:tx>
            <c:v>VEP(2.44)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Sheet5!$B$7:$B$10</c:f>
              <c:numCache>
                <c:formatCode>General</c:formatCode>
                <c:ptCount val="4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</c:numCache>
            </c:numRef>
          </c:xVal>
          <c:yVal>
            <c:numRef>
              <c:f>Sheet5!$D$7:$D$10</c:f>
              <c:numCache>
                <c:formatCode>General</c:formatCode>
                <c:ptCount val="4"/>
                <c:pt idx="0">
                  <c:v>1353.018</c:v>
                </c:pt>
                <c:pt idx="1">
                  <c:v>1622.357</c:v>
                </c:pt>
                <c:pt idx="2">
                  <c:v>1897.06</c:v>
                </c:pt>
                <c:pt idx="3">
                  <c:v>2174.9520000000002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93-4865-8033-53CD42ED03CA}"/>
            </c:ext>
          </c:extLst>
        </c:ser>
        <c:ser>
          <c:idx val="3"/>
          <c:order val="3"/>
          <c:tx>
            <c:v>VFP(3)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Sheet5!$B$7:$B$10</c:f>
              <c:numCache>
                <c:formatCode>General</c:formatCode>
                <c:ptCount val="4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</c:numCache>
            </c:numRef>
          </c:xVal>
          <c:yVal>
            <c:numRef>
              <c:f>Sheet5!$E$7:$E$10</c:f>
              <c:numCache>
                <c:formatCode>General</c:formatCode>
                <c:ptCount val="4"/>
                <c:pt idx="0">
                  <c:v>945.61919999999998</c:v>
                </c:pt>
                <c:pt idx="1">
                  <c:v>1089.502</c:v>
                </c:pt>
                <c:pt idx="2">
                  <c:v>1241.5440000000001</c:v>
                </c:pt>
                <c:pt idx="3">
                  <c:v>1398.7270000000001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93-4865-8033-53CD42ED03CA}"/>
            </c:ext>
          </c:extLst>
        </c:ser>
        <c:ser>
          <c:idx val="4"/>
          <c:order val="4"/>
          <c:tx>
            <c:v>VFP(3.48)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Sheet5!$B$7:$B$10</c:f>
              <c:numCache>
                <c:formatCode>General</c:formatCode>
                <c:ptCount val="4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</c:numCache>
            </c:numRef>
          </c:xVal>
          <c:yVal>
            <c:numRef>
              <c:f>Sheet5!$F$7:$F$10</c:f>
              <c:numCache>
                <c:formatCode>General</c:formatCode>
                <c:ptCount val="4"/>
                <c:pt idx="0">
                  <c:v>785.91988854607735</c:v>
                </c:pt>
                <c:pt idx="1">
                  <c:v>871.14285986812411</c:v>
                </c:pt>
                <c:pt idx="2">
                  <c:v>964.52925226916432</c:v>
                </c:pt>
                <c:pt idx="3">
                  <c:v>1063.7397692356117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93-4865-8033-53CD42ED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67231"/>
        <c:axId val="93571551"/>
      </c:scatterChart>
      <c:valAx>
        <c:axId val="93567231"/>
        <c:scaling>
          <c:orientation val="minMax"/>
          <c:max val="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(MSCF/day)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1551"/>
        <c:crosses val="autoZero"/>
        <c:crossBetween val="midCat"/>
        <c:majorUnit val="2000"/>
      </c:valAx>
      <c:valAx>
        <c:axId val="935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r>
                  <a:rPr lang="en-US" baseline="-25000"/>
                  <a:t>wf</a:t>
                </a:r>
                <a:r>
                  <a:rPr lang="en-US"/>
                  <a:t>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7231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575931</xdr:colOff>
      <xdr:row>8</xdr:row>
      <xdr:rowOff>79745</xdr:rowOff>
    </xdr:from>
    <xdr:ext cx="1473838" cy="602512"/>
    <xdr:pic>
      <xdr:nvPicPr>
        <xdr:cNvPr id="2" name="Picture 1">
          <a:extLst>
            <a:ext uri="{FF2B5EF4-FFF2-40B4-BE49-F238E27FC236}">
              <a16:creationId xmlns:a16="http://schemas.microsoft.com/office/drawing/2014/main" id="{9F5F7B4D-4CB4-4FFC-9634-6A47C48D8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5311" y="994145"/>
          <a:ext cx="1473838" cy="602512"/>
        </a:xfrm>
        <a:prstGeom prst="rect">
          <a:avLst/>
        </a:prstGeom>
      </xdr:spPr>
    </xdr:pic>
    <xdr:clientData/>
  </xdr:oneCellAnchor>
  <xdr:oneCellAnchor>
    <xdr:from>
      <xdr:col>35</xdr:col>
      <xdr:colOff>24715</xdr:colOff>
      <xdr:row>8</xdr:row>
      <xdr:rowOff>146722</xdr:rowOff>
    </xdr:from>
    <xdr:ext cx="3382709" cy="751898"/>
    <xdr:pic>
      <xdr:nvPicPr>
        <xdr:cNvPr id="3" name="Picture 2">
          <a:extLst>
            <a:ext uri="{FF2B5EF4-FFF2-40B4-BE49-F238E27FC236}">
              <a16:creationId xmlns:a16="http://schemas.microsoft.com/office/drawing/2014/main" id="{312BE52B-101B-43DB-AB17-FABEA0D9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91395" y="1061122"/>
          <a:ext cx="3382709" cy="751898"/>
        </a:xfrm>
        <a:prstGeom prst="rect">
          <a:avLst/>
        </a:prstGeom>
      </xdr:spPr>
    </xdr:pic>
    <xdr:clientData/>
  </xdr:oneCellAnchor>
  <xdr:oneCellAnchor>
    <xdr:from>
      <xdr:col>42</xdr:col>
      <xdr:colOff>82935</xdr:colOff>
      <xdr:row>3</xdr:row>
      <xdr:rowOff>68403</xdr:rowOff>
    </xdr:from>
    <xdr:ext cx="9321784" cy="603929"/>
    <xdr:pic>
      <xdr:nvPicPr>
        <xdr:cNvPr id="4" name="Picture 3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9D09EF60-109F-45BD-A9E2-995863A3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665555" y="68403"/>
          <a:ext cx="9321784" cy="6039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42</xdr:col>
      <xdr:colOff>0</xdr:colOff>
      <xdr:row>8</xdr:row>
      <xdr:rowOff>53164</xdr:rowOff>
    </xdr:from>
    <xdr:to>
      <xdr:col>44</xdr:col>
      <xdr:colOff>549349</xdr:colOff>
      <xdr:row>10</xdr:row>
      <xdr:rowOff>17721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99D066-B21C-404B-BBF5-2E53F00B26A2}"/>
            </a:ext>
          </a:extLst>
        </xdr:cNvPr>
        <xdr:cNvSpPr txBox="1"/>
      </xdr:nvSpPr>
      <xdr:spPr>
        <a:xfrm>
          <a:off x="28582620" y="967564"/>
          <a:ext cx="1768549" cy="3303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DAK Correlation</a:t>
          </a:r>
        </a:p>
      </xdr:txBody>
    </xdr:sp>
    <xdr:clientData/>
  </xdr:twoCellAnchor>
  <xdr:twoCellAnchor>
    <xdr:from>
      <xdr:col>22</xdr:col>
      <xdr:colOff>0</xdr:colOff>
      <xdr:row>10</xdr:row>
      <xdr:rowOff>132907</xdr:rowOff>
    </xdr:from>
    <xdr:to>
      <xdr:col>25</xdr:col>
      <xdr:colOff>53163</xdr:colOff>
      <xdr:row>12</xdr:row>
      <xdr:rowOff>177210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AD54B3-06AA-4630-A120-1EAFD2706D61}"/>
            </a:ext>
          </a:extLst>
        </xdr:cNvPr>
        <xdr:cNvSpPr txBox="1"/>
      </xdr:nvSpPr>
      <xdr:spPr>
        <a:xfrm>
          <a:off x="14851380" y="1413067"/>
          <a:ext cx="1881963" cy="41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LGE Correlation</a:t>
          </a:r>
        </a:p>
      </xdr:txBody>
    </xdr:sp>
    <xdr:clientData/>
  </xdr:twoCellAnchor>
  <xdr:twoCellAnchor>
    <xdr:from>
      <xdr:col>32</xdr:col>
      <xdr:colOff>0</xdr:colOff>
      <xdr:row>11</xdr:row>
      <xdr:rowOff>1</xdr:rowOff>
    </xdr:from>
    <xdr:to>
      <xdr:col>34</xdr:col>
      <xdr:colOff>505046</xdr:colOff>
      <xdr:row>13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E179E6-8DD5-4E7C-ADE9-4D503F2EA7F5}"/>
            </a:ext>
          </a:extLst>
        </xdr:cNvPr>
        <xdr:cNvSpPr txBox="1"/>
      </xdr:nvSpPr>
      <xdr:spPr>
        <a:xfrm>
          <a:off x="20947380" y="1463041"/>
          <a:ext cx="1724246" cy="365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CHEN Correlation</a:t>
          </a:r>
        </a:p>
      </xdr:txBody>
    </xdr:sp>
    <xdr:clientData/>
  </xdr:twoCellAnchor>
  <xdr:oneCellAnchor>
    <xdr:from>
      <xdr:col>10</xdr:col>
      <xdr:colOff>107920</xdr:colOff>
      <xdr:row>8</xdr:row>
      <xdr:rowOff>169767</xdr:rowOff>
    </xdr:from>
    <xdr:ext cx="2900352" cy="752253"/>
    <xdr:pic>
      <xdr:nvPicPr>
        <xdr:cNvPr id="8" name="Picture 7">
          <a:extLst>
            <a:ext uri="{FF2B5EF4-FFF2-40B4-BE49-F238E27FC236}">
              <a16:creationId xmlns:a16="http://schemas.microsoft.com/office/drawing/2014/main" id="{2C7147D8-BDAC-4C6D-93E0-5E5BEB67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920" y="1678527"/>
          <a:ext cx="2900352" cy="752253"/>
        </a:xfrm>
        <a:prstGeom prst="rect">
          <a:avLst/>
        </a:prstGeom>
      </xdr:spPr>
    </xdr:pic>
    <xdr:clientData/>
  </xdr:oneCellAnchor>
  <xdr:twoCellAnchor editAs="oneCell">
    <xdr:from>
      <xdr:col>17</xdr:col>
      <xdr:colOff>99059</xdr:colOff>
      <xdr:row>1</xdr:row>
      <xdr:rowOff>144780</xdr:rowOff>
    </xdr:from>
    <xdr:to>
      <xdr:col>21</xdr:col>
      <xdr:colOff>462586</xdr:colOff>
      <xdr:row>11</xdr:row>
      <xdr:rowOff>167639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0BDC90-B4A0-C165-0E9B-198D332FB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59" y="327660"/>
          <a:ext cx="2801927" cy="1912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575931</xdr:colOff>
      <xdr:row>8</xdr:row>
      <xdr:rowOff>79745</xdr:rowOff>
    </xdr:from>
    <xdr:ext cx="1473838" cy="602512"/>
    <xdr:pic>
      <xdr:nvPicPr>
        <xdr:cNvPr id="2" name="Picture 1">
          <a:extLst>
            <a:ext uri="{FF2B5EF4-FFF2-40B4-BE49-F238E27FC236}">
              <a16:creationId xmlns:a16="http://schemas.microsoft.com/office/drawing/2014/main" id="{09F6AF2A-0F00-42C5-BC11-8530B93B0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5131" y="1588505"/>
          <a:ext cx="1473838" cy="602512"/>
        </a:xfrm>
        <a:prstGeom prst="rect">
          <a:avLst/>
        </a:prstGeom>
      </xdr:spPr>
    </xdr:pic>
    <xdr:clientData/>
  </xdr:oneCellAnchor>
  <xdr:oneCellAnchor>
    <xdr:from>
      <xdr:col>35</xdr:col>
      <xdr:colOff>24715</xdr:colOff>
      <xdr:row>8</xdr:row>
      <xdr:rowOff>146722</xdr:rowOff>
    </xdr:from>
    <xdr:ext cx="3382709" cy="751898"/>
    <xdr:pic>
      <xdr:nvPicPr>
        <xdr:cNvPr id="3" name="Picture 2">
          <a:extLst>
            <a:ext uri="{FF2B5EF4-FFF2-40B4-BE49-F238E27FC236}">
              <a16:creationId xmlns:a16="http://schemas.microsoft.com/office/drawing/2014/main" id="{C48ADDE1-CEF5-42E0-8E3A-4A07565F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60715" y="1655482"/>
          <a:ext cx="3382709" cy="751898"/>
        </a:xfrm>
        <a:prstGeom prst="rect">
          <a:avLst/>
        </a:prstGeom>
      </xdr:spPr>
    </xdr:pic>
    <xdr:clientData/>
  </xdr:oneCellAnchor>
  <xdr:oneCellAnchor>
    <xdr:from>
      <xdr:col>42</xdr:col>
      <xdr:colOff>82935</xdr:colOff>
      <xdr:row>3</xdr:row>
      <xdr:rowOff>68403</xdr:rowOff>
    </xdr:from>
    <xdr:ext cx="9321784" cy="603929"/>
    <xdr:pic>
      <xdr:nvPicPr>
        <xdr:cNvPr id="4" name="Picture 3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F08A75B1-55CC-4B64-A770-04EE44FE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86135" y="617043"/>
          <a:ext cx="9321784" cy="6039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42</xdr:col>
      <xdr:colOff>0</xdr:colOff>
      <xdr:row>8</xdr:row>
      <xdr:rowOff>53164</xdr:rowOff>
    </xdr:from>
    <xdr:to>
      <xdr:col>44</xdr:col>
      <xdr:colOff>549349</xdr:colOff>
      <xdr:row>10</xdr:row>
      <xdr:rowOff>17721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98F1F6-FD61-4600-AF97-353AA51AB9C8}"/>
            </a:ext>
          </a:extLst>
        </xdr:cNvPr>
        <xdr:cNvSpPr txBox="1"/>
      </xdr:nvSpPr>
      <xdr:spPr>
        <a:xfrm>
          <a:off x="25603200" y="1561924"/>
          <a:ext cx="1768549" cy="3455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DAK Correlation</a:t>
          </a:r>
        </a:p>
      </xdr:txBody>
    </xdr:sp>
    <xdr:clientData/>
  </xdr:twoCellAnchor>
  <xdr:twoCellAnchor>
    <xdr:from>
      <xdr:col>22</xdr:col>
      <xdr:colOff>0</xdr:colOff>
      <xdr:row>10</xdr:row>
      <xdr:rowOff>132907</xdr:rowOff>
    </xdr:from>
    <xdr:to>
      <xdr:col>25</xdr:col>
      <xdr:colOff>53163</xdr:colOff>
      <xdr:row>12</xdr:row>
      <xdr:rowOff>177210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DB4649-9945-46AB-AD75-13D2B6AEC7CB}"/>
            </a:ext>
          </a:extLst>
        </xdr:cNvPr>
        <xdr:cNvSpPr txBox="1"/>
      </xdr:nvSpPr>
      <xdr:spPr>
        <a:xfrm>
          <a:off x="13411200" y="2022667"/>
          <a:ext cx="1881963" cy="41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LGE Correlation</a:t>
          </a:r>
        </a:p>
      </xdr:txBody>
    </xdr:sp>
    <xdr:clientData/>
  </xdr:twoCellAnchor>
  <xdr:twoCellAnchor>
    <xdr:from>
      <xdr:col>32</xdr:col>
      <xdr:colOff>0</xdr:colOff>
      <xdr:row>11</xdr:row>
      <xdr:rowOff>1</xdr:rowOff>
    </xdr:from>
    <xdr:to>
      <xdr:col>34</xdr:col>
      <xdr:colOff>505046</xdr:colOff>
      <xdr:row>13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F8CEEA-AD14-404F-98B4-4A97442865C7}"/>
            </a:ext>
          </a:extLst>
        </xdr:cNvPr>
        <xdr:cNvSpPr txBox="1"/>
      </xdr:nvSpPr>
      <xdr:spPr>
        <a:xfrm>
          <a:off x="19507200" y="2072641"/>
          <a:ext cx="1724246" cy="365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CHEN Correlation</a:t>
          </a:r>
        </a:p>
      </xdr:txBody>
    </xdr:sp>
    <xdr:clientData/>
  </xdr:twoCellAnchor>
  <xdr:oneCellAnchor>
    <xdr:from>
      <xdr:col>10</xdr:col>
      <xdr:colOff>107920</xdr:colOff>
      <xdr:row>8</xdr:row>
      <xdr:rowOff>169767</xdr:rowOff>
    </xdr:from>
    <xdr:ext cx="2900352" cy="752253"/>
    <xdr:pic>
      <xdr:nvPicPr>
        <xdr:cNvPr id="8" name="Picture 7">
          <a:extLst>
            <a:ext uri="{FF2B5EF4-FFF2-40B4-BE49-F238E27FC236}">
              <a16:creationId xmlns:a16="http://schemas.microsoft.com/office/drawing/2014/main" id="{C2253A8F-9434-4993-9611-243D4D41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920" y="1678527"/>
          <a:ext cx="2900352" cy="752253"/>
        </a:xfrm>
        <a:prstGeom prst="rect">
          <a:avLst/>
        </a:prstGeom>
      </xdr:spPr>
    </xdr:pic>
    <xdr:clientData/>
  </xdr:oneCellAnchor>
  <xdr:twoCellAnchor editAs="oneCell">
    <xdr:from>
      <xdr:col>17</xdr:col>
      <xdr:colOff>99059</xdr:colOff>
      <xdr:row>1</xdr:row>
      <xdr:rowOff>144780</xdr:rowOff>
    </xdr:from>
    <xdr:to>
      <xdr:col>21</xdr:col>
      <xdr:colOff>462586</xdr:colOff>
      <xdr:row>12</xdr:row>
      <xdr:rowOff>45719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EAB49B2-2173-4CE5-9B67-1B3382F43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59" y="327660"/>
          <a:ext cx="2801927" cy="1912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575931</xdr:colOff>
      <xdr:row>8</xdr:row>
      <xdr:rowOff>79745</xdr:rowOff>
    </xdr:from>
    <xdr:ext cx="1473838" cy="602512"/>
    <xdr:pic>
      <xdr:nvPicPr>
        <xdr:cNvPr id="2" name="Picture 1">
          <a:extLst>
            <a:ext uri="{FF2B5EF4-FFF2-40B4-BE49-F238E27FC236}">
              <a16:creationId xmlns:a16="http://schemas.microsoft.com/office/drawing/2014/main" id="{04A227C2-12E6-45B8-9A57-9860DBD88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5131" y="1588505"/>
          <a:ext cx="1473838" cy="602512"/>
        </a:xfrm>
        <a:prstGeom prst="rect">
          <a:avLst/>
        </a:prstGeom>
      </xdr:spPr>
    </xdr:pic>
    <xdr:clientData/>
  </xdr:oneCellAnchor>
  <xdr:oneCellAnchor>
    <xdr:from>
      <xdr:col>35</xdr:col>
      <xdr:colOff>24715</xdr:colOff>
      <xdr:row>8</xdr:row>
      <xdr:rowOff>146722</xdr:rowOff>
    </xdr:from>
    <xdr:ext cx="3382709" cy="751898"/>
    <xdr:pic>
      <xdr:nvPicPr>
        <xdr:cNvPr id="3" name="Picture 2">
          <a:extLst>
            <a:ext uri="{FF2B5EF4-FFF2-40B4-BE49-F238E27FC236}">
              <a16:creationId xmlns:a16="http://schemas.microsoft.com/office/drawing/2014/main" id="{6CABAABE-99E2-4137-A93D-29E67ED58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60715" y="1655482"/>
          <a:ext cx="3382709" cy="751898"/>
        </a:xfrm>
        <a:prstGeom prst="rect">
          <a:avLst/>
        </a:prstGeom>
      </xdr:spPr>
    </xdr:pic>
    <xdr:clientData/>
  </xdr:oneCellAnchor>
  <xdr:oneCellAnchor>
    <xdr:from>
      <xdr:col>42</xdr:col>
      <xdr:colOff>82935</xdr:colOff>
      <xdr:row>3</xdr:row>
      <xdr:rowOff>68403</xdr:rowOff>
    </xdr:from>
    <xdr:ext cx="9321784" cy="603929"/>
    <xdr:pic>
      <xdr:nvPicPr>
        <xdr:cNvPr id="4" name="Picture 3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4BCC418B-4BB4-463D-A6A2-EDF9F7C28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86135" y="617043"/>
          <a:ext cx="9321784" cy="6039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42</xdr:col>
      <xdr:colOff>0</xdr:colOff>
      <xdr:row>8</xdr:row>
      <xdr:rowOff>53164</xdr:rowOff>
    </xdr:from>
    <xdr:to>
      <xdr:col>44</xdr:col>
      <xdr:colOff>549349</xdr:colOff>
      <xdr:row>10</xdr:row>
      <xdr:rowOff>17721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59429E-058A-4398-9415-A8B46A9171BE}"/>
            </a:ext>
          </a:extLst>
        </xdr:cNvPr>
        <xdr:cNvSpPr txBox="1"/>
      </xdr:nvSpPr>
      <xdr:spPr>
        <a:xfrm>
          <a:off x="25603200" y="1561924"/>
          <a:ext cx="1768549" cy="3455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DAK Correlation</a:t>
          </a:r>
        </a:p>
      </xdr:txBody>
    </xdr:sp>
    <xdr:clientData/>
  </xdr:twoCellAnchor>
  <xdr:twoCellAnchor>
    <xdr:from>
      <xdr:col>22</xdr:col>
      <xdr:colOff>0</xdr:colOff>
      <xdr:row>10</xdr:row>
      <xdr:rowOff>132907</xdr:rowOff>
    </xdr:from>
    <xdr:to>
      <xdr:col>25</xdr:col>
      <xdr:colOff>53163</xdr:colOff>
      <xdr:row>12</xdr:row>
      <xdr:rowOff>177210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0255BF-96D2-463C-871F-228C55D79CBF}"/>
            </a:ext>
          </a:extLst>
        </xdr:cNvPr>
        <xdr:cNvSpPr txBox="1"/>
      </xdr:nvSpPr>
      <xdr:spPr>
        <a:xfrm>
          <a:off x="13411200" y="2022667"/>
          <a:ext cx="1881963" cy="41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LGE Correlation</a:t>
          </a:r>
        </a:p>
      </xdr:txBody>
    </xdr:sp>
    <xdr:clientData/>
  </xdr:twoCellAnchor>
  <xdr:twoCellAnchor>
    <xdr:from>
      <xdr:col>32</xdr:col>
      <xdr:colOff>0</xdr:colOff>
      <xdr:row>11</xdr:row>
      <xdr:rowOff>1</xdr:rowOff>
    </xdr:from>
    <xdr:to>
      <xdr:col>34</xdr:col>
      <xdr:colOff>505046</xdr:colOff>
      <xdr:row>13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649D87-24F3-48D2-A84F-2E6A117A5809}"/>
            </a:ext>
          </a:extLst>
        </xdr:cNvPr>
        <xdr:cNvSpPr txBox="1"/>
      </xdr:nvSpPr>
      <xdr:spPr>
        <a:xfrm>
          <a:off x="19507200" y="2072641"/>
          <a:ext cx="1724246" cy="365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CHEN Correlation</a:t>
          </a:r>
        </a:p>
      </xdr:txBody>
    </xdr:sp>
    <xdr:clientData/>
  </xdr:twoCellAnchor>
  <xdr:oneCellAnchor>
    <xdr:from>
      <xdr:col>10</xdr:col>
      <xdr:colOff>107920</xdr:colOff>
      <xdr:row>8</xdr:row>
      <xdr:rowOff>169767</xdr:rowOff>
    </xdr:from>
    <xdr:ext cx="2900352" cy="752253"/>
    <xdr:pic>
      <xdr:nvPicPr>
        <xdr:cNvPr id="8" name="Picture 7">
          <a:extLst>
            <a:ext uri="{FF2B5EF4-FFF2-40B4-BE49-F238E27FC236}">
              <a16:creationId xmlns:a16="http://schemas.microsoft.com/office/drawing/2014/main" id="{4F71A3B1-E53A-4C68-9566-7EBD0F711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920" y="1678527"/>
          <a:ext cx="2900352" cy="752253"/>
        </a:xfrm>
        <a:prstGeom prst="rect">
          <a:avLst/>
        </a:prstGeom>
      </xdr:spPr>
    </xdr:pic>
    <xdr:clientData/>
  </xdr:oneCellAnchor>
  <xdr:twoCellAnchor editAs="oneCell">
    <xdr:from>
      <xdr:col>17</xdr:col>
      <xdr:colOff>99059</xdr:colOff>
      <xdr:row>1</xdr:row>
      <xdr:rowOff>144780</xdr:rowOff>
    </xdr:from>
    <xdr:to>
      <xdr:col>21</xdr:col>
      <xdr:colOff>462586</xdr:colOff>
      <xdr:row>12</xdr:row>
      <xdr:rowOff>45719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4C1EAE-7099-42B8-9D0F-86B89E13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59" y="327660"/>
          <a:ext cx="2801927" cy="1912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575931</xdr:colOff>
      <xdr:row>8</xdr:row>
      <xdr:rowOff>79745</xdr:rowOff>
    </xdr:from>
    <xdr:ext cx="1473838" cy="602512"/>
    <xdr:pic>
      <xdr:nvPicPr>
        <xdr:cNvPr id="2" name="Picture 1">
          <a:extLst>
            <a:ext uri="{FF2B5EF4-FFF2-40B4-BE49-F238E27FC236}">
              <a16:creationId xmlns:a16="http://schemas.microsoft.com/office/drawing/2014/main" id="{08A213D7-6252-4A17-8B5F-18E93BF7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5131" y="1588505"/>
          <a:ext cx="1473838" cy="602512"/>
        </a:xfrm>
        <a:prstGeom prst="rect">
          <a:avLst/>
        </a:prstGeom>
      </xdr:spPr>
    </xdr:pic>
    <xdr:clientData/>
  </xdr:oneCellAnchor>
  <xdr:oneCellAnchor>
    <xdr:from>
      <xdr:col>35</xdr:col>
      <xdr:colOff>24715</xdr:colOff>
      <xdr:row>8</xdr:row>
      <xdr:rowOff>146722</xdr:rowOff>
    </xdr:from>
    <xdr:ext cx="3382709" cy="751898"/>
    <xdr:pic>
      <xdr:nvPicPr>
        <xdr:cNvPr id="3" name="Picture 2">
          <a:extLst>
            <a:ext uri="{FF2B5EF4-FFF2-40B4-BE49-F238E27FC236}">
              <a16:creationId xmlns:a16="http://schemas.microsoft.com/office/drawing/2014/main" id="{E342C805-2CFD-4652-BCBA-588E1181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60715" y="1655482"/>
          <a:ext cx="3382709" cy="751898"/>
        </a:xfrm>
        <a:prstGeom prst="rect">
          <a:avLst/>
        </a:prstGeom>
      </xdr:spPr>
    </xdr:pic>
    <xdr:clientData/>
  </xdr:oneCellAnchor>
  <xdr:oneCellAnchor>
    <xdr:from>
      <xdr:col>42</xdr:col>
      <xdr:colOff>82935</xdr:colOff>
      <xdr:row>3</xdr:row>
      <xdr:rowOff>68403</xdr:rowOff>
    </xdr:from>
    <xdr:ext cx="9321784" cy="603929"/>
    <xdr:pic>
      <xdr:nvPicPr>
        <xdr:cNvPr id="4" name="Picture 3" descr=" z =  1 +&#10;\left(A_1&#10; +\frac{A_2}{T_{pr}}&#10; +\frac{A_3}{T^3_{pr}}&#10; +\frac{A_4}{T^4_{pr}}&#10; +\frac{A_5}{T^5_{pr}}&#10;\right)\  \rho_r+&#10;\left(A_6&#10; +\frac{A_7}{T_{pr}}&#10; +\frac{A_8}{T^2_{pr}}&#10;\right)\ \rho^2_r&#10;-A_9\ \left(\frac{A_7}{T_{pr}}+\frac{A_8}{T^2_{pr}}\right) \rho^5_r&#10;+A_{10}\ \left(1+A_{11}\ \rho^2_r\right)\ \frac{\rho^2_r}{T^3_{pr}}&#10;\ e^{(-A_{11}\ \rho^2_r)}&#10;">
          <a:extLst>
            <a:ext uri="{FF2B5EF4-FFF2-40B4-BE49-F238E27FC236}">
              <a16:creationId xmlns:a16="http://schemas.microsoft.com/office/drawing/2014/main" id="{3EB325E9-26A1-4A53-8FDB-67959696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86135" y="617043"/>
          <a:ext cx="9321784" cy="6039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42</xdr:col>
      <xdr:colOff>0</xdr:colOff>
      <xdr:row>8</xdr:row>
      <xdr:rowOff>53164</xdr:rowOff>
    </xdr:from>
    <xdr:to>
      <xdr:col>44</xdr:col>
      <xdr:colOff>549349</xdr:colOff>
      <xdr:row>10</xdr:row>
      <xdr:rowOff>17721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E0D00E-B618-4AA5-961E-35DCB4C74B8D}"/>
            </a:ext>
          </a:extLst>
        </xdr:cNvPr>
        <xdr:cNvSpPr txBox="1"/>
      </xdr:nvSpPr>
      <xdr:spPr>
        <a:xfrm>
          <a:off x="25603200" y="1561924"/>
          <a:ext cx="1768549" cy="3455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DAK Correlation</a:t>
          </a:r>
        </a:p>
      </xdr:txBody>
    </xdr:sp>
    <xdr:clientData/>
  </xdr:twoCellAnchor>
  <xdr:twoCellAnchor>
    <xdr:from>
      <xdr:col>22</xdr:col>
      <xdr:colOff>0</xdr:colOff>
      <xdr:row>10</xdr:row>
      <xdr:rowOff>132907</xdr:rowOff>
    </xdr:from>
    <xdr:to>
      <xdr:col>25</xdr:col>
      <xdr:colOff>53163</xdr:colOff>
      <xdr:row>12</xdr:row>
      <xdr:rowOff>177210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15935D-DE59-4489-B713-C931BDACACA3}"/>
            </a:ext>
          </a:extLst>
        </xdr:cNvPr>
        <xdr:cNvSpPr txBox="1"/>
      </xdr:nvSpPr>
      <xdr:spPr>
        <a:xfrm>
          <a:off x="13411200" y="2022667"/>
          <a:ext cx="1881963" cy="41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LGE Correlation</a:t>
          </a:r>
        </a:p>
      </xdr:txBody>
    </xdr:sp>
    <xdr:clientData/>
  </xdr:twoCellAnchor>
  <xdr:twoCellAnchor>
    <xdr:from>
      <xdr:col>32</xdr:col>
      <xdr:colOff>0</xdr:colOff>
      <xdr:row>11</xdr:row>
      <xdr:rowOff>1</xdr:rowOff>
    </xdr:from>
    <xdr:to>
      <xdr:col>34</xdr:col>
      <xdr:colOff>505046</xdr:colOff>
      <xdr:row>13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3999E6-11C5-44DF-9D6B-30FC9D92A1B3}"/>
            </a:ext>
          </a:extLst>
        </xdr:cNvPr>
        <xdr:cNvSpPr txBox="1"/>
      </xdr:nvSpPr>
      <xdr:spPr>
        <a:xfrm>
          <a:off x="19507200" y="2072641"/>
          <a:ext cx="1724246" cy="365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CHEN Correlation</a:t>
          </a:r>
        </a:p>
      </xdr:txBody>
    </xdr:sp>
    <xdr:clientData/>
  </xdr:twoCellAnchor>
  <xdr:oneCellAnchor>
    <xdr:from>
      <xdr:col>10</xdr:col>
      <xdr:colOff>107920</xdr:colOff>
      <xdr:row>8</xdr:row>
      <xdr:rowOff>169767</xdr:rowOff>
    </xdr:from>
    <xdr:ext cx="2900352" cy="752253"/>
    <xdr:pic>
      <xdr:nvPicPr>
        <xdr:cNvPr id="8" name="Picture 7">
          <a:extLst>
            <a:ext uri="{FF2B5EF4-FFF2-40B4-BE49-F238E27FC236}">
              <a16:creationId xmlns:a16="http://schemas.microsoft.com/office/drawing/2014/main" id="{35BB6866-5B54-42A2-B8B4-69389FF8F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920" y="1678527"/>
          <a:ext cx="2900352" cy="752253"/>
        </a:xfrm>
        <a:prstGeom prst="rect">
          <a:avLst/>
        </a:prstGeom>
      </xdr:spPr>
    </xdr:pic>
    <xdr:clientData/>
  </xdr:oneCellAnchor>
  <xdr:twoCellAnchor editAs="oneCell">
    <xdr:from>
      <xdr:col>17</xdr:col>
      <xdr:colOff>99059</xdr:colOff>
      <xdr:row>1</xdr:row>
      <xdr:rowOff>144780</xdr:rowOff>
    </xdr:from>
    <xdr:to>
      <xdr:col>21</xdr:col>
      <xdr:colOff>462586</xdr:colOff>
      <xdr:row>12</xdr:row>
      <xdr:rowOff>45719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EFA86F-A2F5-4816-952B-BF4B299C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59" y="327660"/>
          <a:ext cx="2801927" cy="1912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10</xdr:row>
      <xdr:rowOff>350520</xdr:rowOff>
    </xdr:from>
    <xdr:to>
      <xdr:col>6</xdr:col>
      <xdr:colOff>320040</xdr:colOff>
      <xdr:row>29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0034B4-653A-0224-8E86-BBFAAE3C2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13</xdr:row>
      <xdr:rowOff>60960</xdr:rowOff>
    </xdr:from>
    <xdr:to>
      <xdr:col>2</xdr:col>
      <xdr:colOff>822960</xdr:colOff>
      <xdr:row>14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1F03A0-0A64-C308-5E56-39FC73CD5817}"/>
            </a:ext>
          </a:extLst>
        </xdr:cNvPr>
        <xdr:cNvSpPr txBox="1"/>
      </xdr:nvSpPr>
      <xdr:spPr>
        <a:xfrm>
          <a:off x="1600200" y="2842260"/>
          <a:ext cx="44196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IPR</a:t>
          </a:r>
        </a:p>
      </xdr:txBody>
    </xdr:sp>
    <xdr:clientData/>
  </xdr:twoCellAnchor>
  <xdr:twoCellAnchor>
    <xdr:from>
      <xdr:col>4</xdr:col>
      <xdr:colOff>708660</xdr:colOff>
      <xdr:row>19</xdr:row>
      <xdr:rowOff>121920</xdr:rowOff>
    </xdr:from>
    <xdr:to>
      <xdr:col>5</xdr:col>
      <xdr:colOff>251460</xdr:colOff>
      <xdr:row>21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7C577D-DBF3-4458-B066-9A342E2A2337}"/>
            </a:ext>
          </a:extLst>
        </xdr:cNvPr>
        <xdr:cNvSpPr txBox="1"/>
      </xdr:nvSpPr>
      <xdr:spPr>
        <a:xfrm>
          <a:off x="3726180" y="4000500"/>
          <a:ext cx="44196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VFP</a:t>
          </a:r>
        </a:p>
      </xdr:txBody>
    </xdr:sp>
    <xdr:clientData/>
  </xdr:twoCellAnchor>
  <xdr:twoCellAnchor editAs="oneCell">
    <xdr:from>
      <xdr:col>8</xdr:col>
      <xdr:colOff>0</xdr:colOff>
      <xdr:row>1</xdr:row>
      <xdr:rowOff>0</xdr:rowOff>
    </xdr:from>
    <xdr:to>
      <xdr:col>12</xdr:col>
      <xdr:colOff>217556</xdr:colOff>
      <xdr:row>3</xdr:row>
      <xdr:rowOff>24820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D5223-A461-47B3-95E6-37D7E95B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82880"/>
          <a:ext cx="2762636" cy="390580"/>
        </a:xfrm>
        <a:prstGeom prst="rect">
          <a:avLst/>
        </a:prstGeom>
      </xdr:spPr>
    </xdr:pic>
    <xdr:clientData/>
  </xdr:twoCellAnchor>
  <xdr:twoCellAnchor>
    <xdr:from>
      <xdr:col>3</xdr:col>
      <xdr:colOff>868680</xdr:colOff>
      <xdr:row>18</xdr:row>
      <xdr:rowOff>160020</xdr:rowOff>
    </xdr:from>
    <xdr:to>
      <xdr:col>4</xdr:col>
      <xdr:colOff>487680</xdr:colOff>
      <xdr:row>20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8E0D03-77E4-4349-AE66-800697267B93}"/>
            </a:ext>
          </a:extLst>
        </xdr:cNvPr>
        <xdr:cNvSpPr txBox="1"/>
      </xdr:nvSpPr>
      <xdr:spPr>
        <a:xfrm>
          <a:off x="2964180" y="3855720"/>
          <a:ext cx="54102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2"/>
              </a:solidFill>
            </a:rPr>
            <a:t>2</a:t>
          </a:r>
          <a:r>
            <a:rPr lang="en-US" sz="1100" baseline="0">
              <a:solidFill>
                <a:schemeClr val="accent2"/>
              </a:solidFill>
            </a:rPr>
            <a:t> 3/8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3</xdr:col>
      <xdr:colOff>838200</xdr:colOff>
      <xdr:row>21</xdr:row>
      <xdr:rowOff>30480</xdr:rowOff>
    </xdr:from>
    <xdr:to>
      <xdr:col>4</xdr:col>
      <xdr:colOff>510540</xdr:colOff>
      <xdr:row>22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2A8234-7AD0-4971-A408-4FD747397ACE}"/>
            </a:ext>
          </a:extLst>
        </xdr:cNvPr>
        <xdr:cNvSpPr txBox="1"/>
      </xdr:nvSpPr>
      <xdr:spPr>
        <a:xfrm>
          <a:off x="2933700" y="4274820"/>
          <a:ext cx="59436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50000"/>
                </a:schemeClr>
              </a:solidFill>
            </a:rPr>
            <a:t>2</a:t>
          </a:r>
          <a:r>
            <a:rPr lang="en-US" sz="1100" baseline="0">
              <a:solidFill>
                <a:schemeClr val="bg1">
                  <a:lumMod val="50000"/>
                </a:schemeClr>
              </a:solidFill>
            </a:rPr>
            <a:t> 7/8</a:t>
          </a:r>
          <a:endParaRPr lang="en-US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685800</xdr:colOff>
      <xdr:row>23</xdr:row>
      <xdr:rowOff>45720</xdr:rowOff>
    </xdr:from>
    <xdr:to>
      <xdr:col>4</xdr:col>
      <xdr:colOff>297180</xdr:colOff>
      <xdr:row>24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BE8711E-5F6D-4167-B1DF-0274EF9AB0F5}"/>
            </a:ext>
          </a:extLst>
        </xdr:cNvPr>
        <xdr:cNvSpPr txBox="1"/>
      </xdr:nvSpPr>
      <xdr:spPr>
        <a:xfrm>
          <a:off x="2781300" y="4655820"/>
          <a:ext cx="533400" cy="213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C000"/>
              </a:solidFill>
            </a:rPr>
            <a:t>3</a:t>
          </a:r>
          <a:r>
            <a:rPr lang="en-US" sz="1100" baseline="0">
              <a:solidFill>
                <a:srgbClr val="FFC000"/>
              </a:solidFill>
            </a:rPr>
            <a:t> 1/2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4</xdr:col>
      <xdr:colOff>76200</xdr:colOff>
      <xdr:row>24</xdr:row>
      <xdr:rowOff>83820</xdr:rowOff>
    </xdr:from>
    <xdr:to>
      <xdr:col>4</xdr:col>
      <xdr:colOff>327660</xdr:colOff>
      <xdr:row>25</xdr:row>
      <xdr:rowOff>91440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8DA672-D346-45EA-BE13-2A4580497FBE}"/>
            </a:ext>
          </a:extLst>
        </xdr:cNvPr>
        <xdr:cNvSpPr txBox="1"/>
      </xdr:nvSpPr>
      <xdr:spPr>
        <a:xfrm>
          <a:off x="3093720" y="4853940"/>
          <a:ext cx="25146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7BB8"/>
              </a:solidFill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A13-3AC5-4C8A-AC6D-AA62941F49AD}">
  <dimension ref="B4:BQ66"/>
  <sheetViews>
    <sheetView workbookViewId="0">
      <selection activeCell="J9" sqref="J9"/>
    </sheetView>
  </sheetViews>
  <sheetFormatPr defaultRowHeight="14.4"/>
  <sheetData>
    <row r="4" spans="2:69">
      <c r="F4" s="11" t="s">
        <v>33</v>
      </c>
      <c r="G4" s="11">
        <v>8000</v>
      </c>
      <c r="H4" s="11" t="s">
        <v>78</v>
      </c>
    </row>
    <row r="5" spans="2:69">
      <c r="F5" s="11" t="s">
        <v>35</v>
      </c>
      <c r="G5" s="11">
        <v>3.48</v>
      </c>
      <c r="H5" s="11" t="s">
        <v>36</v>
      </c>
    </row>
    <row r="6" spans="2:69">
      <c r="F6" s="11" t="s">
        <v>1</v>
      </c>
      <c r="G6" s="11">
        <v>500</v>
      </c>
      <c r="H6" s="11" t="s">
        <v>37</v>
      </c>
    </row>
    <row r="7" spans="2:69" ht="16.2">
      <c r="F7" s="11" t="s">
        <v>38</v>
      </c>
      <c r="G7" s="11">
        <v>140</v>
      </c>
      <c r="H7" s="11" t="s">
        <v>39</v>
      </c>
    </row>
    <row r="8" spans="2:69" ht="16.2">
      <c r="F8" s="11" t="s">
        <v>40</v>
      </c>
      <c r="G8" s="11">
        <v>180</v>
      </c>
      <c r="H8" s="11" t="s">
        <v>39</v>
      </c>
    </row>
    <row r="9" spans="2:69" ht="15.6">
      <c r="F9" s="12" t="s">
        <v>59</v>
      </c>
      <c r="G9" s="11">
        <v>0.65</v>
      </c>
      <c r="H9" s="11"/>
    </row>
    <row r="12" spans="2:69">
      <c r="AQ12" s="11" t="s">
        <v>14</v>
      </c>
      <c r="AR12" s="11">
        <v>0.32650000000000001</v>
      </c>
      <c r="AS12" s="11" t="s">
        <v>15</v>
      </c>
      <c r="AT12" s="11">
        <v>-1.07</v>
      </c>
      <c r="AU12" s="11" t="s">
        <v>16</v>
      </c>
      <c r="AV12" s="11">
        <f>-0.5339</f>
        <v>-0.53390000000000004</v>
      </c>
      <c r="AW12" s="11" t="s">
        <v>17</v>
      </c>
      <c r="AX12" s="11">
        <f>0.01569</f>
        <v>1.5689999999999999E-2</v>
      </c>
      <c r="AY12" s="11" t="s">
        <v>18</v>
      </c>
      <c r="AZ12" s="11">
        <f>-0.05165</f>
        <v>-5.1650000000000001E-2</v>
      </c>
      <c r="BA12" s="11" t="s">
        <v>19</v>
      </c>
      <c r="BB12" s="11">
        <v>0.54749999999999999</v>
      </c>
      <c r="BC12" s="11" t="s">
        <v>20</v>
      </c>
      <c r="BD12" s="11">
        <v>-0.73609999999999998</v>
      </c>
    </row>
    <row r="13" spans="2:69">
      <c r="AQ13" s="11" t="s">
        <v>21</v>
      </c>
      <c r="AR13" s="11">
        <f>0.1844</f>
        <v>0.18440000000000001</v>
      </c>
      <c r="AS13" s="11" t="s">
        <v>22</v>
      </c>
      <c r="AT13" s="11">
        <f>0.1056</f>
        <v>0.1056</v>
      </c>
      <c r="AU13" s="11" t="s">
        <v>23</v>
      </c>
      <c r="AV13" s="11">
        <f>0.6134</f>
        <v>0.61339999999999995</v>
      </c>
      <c r="AW13" s="11" t="s">
        <v>24</v>
      </c>
      <c r="AX13" s="11">
        <v>0.72099999999999997</v>
      </c>
    </row>
    <row r="15" spans="2:69" s="15" customFormat="1" ht="31.8">
      <c r="B15" s="13" t="s">
        <v>0</v>
      </c>
      <c r="C15" s="14" t="s">
        <v>44</v>
      </c>
      <c r="D15" s="14" t="s">
        <v>45</v>
      </c>
      <c r="E15" s="14" t="s">
        <v>69</v>
      </c>
      <c r="F15" s="13" t="s">
        <v>1</v>
      </c>
      <c r="G15" s="14" t="s">
        <v>46</v>
      </c>
      <c r="H15" s="13" t="s">
        <v>3</v>
      </c>
      <c r="I15" s="14" t="s">
        <v>47</v>
      </c>
      <c r="J15" s="14" t="s">
        <v>34</v>
      </c>
      <c r="K15" s="13" t="s">
        <v>2</v>
      </c>
      <c r="L15" s="14" t="s">
        <v>48</v>
      </c>
      <c r="M15" s="14" t="s">
        <v>49</v>
      </c>
      <c r="N15" s="14" t="s">
        <v>68</v>
      </c>
      <c r="O15" s="14" t="s">
        <v>50</v>
      </c>
      <c r="Q15" s="16" t="s">
        <v>64</v>
      </c>
      <c r="R15" s="16" t="s">
        <v>65</v>
      </c>
      <c r="S15" s="16" t="s">
        <v>66</v>
      </c>
      <c r="T15" s="16" t="s">
        <v>67</v>
      </c>
      <c r="U15" s="14" t="s">
        <v>34</v>
      </c>
      <c r="V15" s="13" t="s">
        <v>29</v>
      </c>
      <c r="W15" s="13" t="s">
        <v>14</v>
      </c>
      <c r="X15" s="13" t="s">
        <v>15</v>
      </c>
      <c r="Y15" s="13" t="s">
        <v>30</v>
      </c>
      <c r="Z15" s="13" t="s">
        <v>31</v>
      </c>
      <c r="AA15" s="13" t="s">
        <v>32</v>
      </c>
      <c r="AB15" s="14" t="s">
        <v>51</v>
      </c>
      <c r="AC15" s="13" t="s">
        <v>41</v>
      </c>
      <c r="AD15" s="14" t="s">
        <v>52</v>
      </c>
      <c r="AG15" s="13" t="s">
        <v>28</v>
      </c>
      <c r="AH15" s="13" t="s">
        <v>25</v>
      </c>
      <c r="AI15" s="13" t="s">
        <v>26</v>
      </c>
      <c r="AJ15" s="13" t="s">
        <v>42</v>
      </c>
      <c r="AK15" s="13" t="s">
        <v>43</v>
      </c>
      <c r="AL15" s="13" t="s">
        <v>27</v>
      </c>
      <c r="AM15" s="14" t="s">
        <v>53</v>
      </c>
      <c r="AN15" s="14" t="s">
        <v>54</v>
      </c>
      <c r="AO15" s="14" t="s">
        <v>48</v>
      </c>
      <c r="AQ15" s="16" t="s">
        <v>70</v>
      </c>
      <c r="AR15" s="16" t="s">
        <v>71</v>
      </c>
      <c r="AS15" s="17" t="s">
        <v>72</v>
      </c>
      <c r="AT15" s="16" t="s">
        <v>73</v>
      </c>
      <c r="AU15" s="14" t="s">
        <v>55</v>
      </c>
      <c r="AV15" s="14" t="s">
        <v>56</v>
      </c>
      <c r="AW15" s="14" t="s">
        <v>57</v>
      </c>
      <c r="AX15" s="13" t="s">
        <v>3</v>
      </c>
      <c r="AY15" s="14" t="s">
        <v>58</v>
      </c>
      <c r="AZ15" s="13" t="s">
        <v>4</v>
      </c>
      <c r="BA15" s="13" t="s">
        <v>5</v>
      </c>
      <c r="BB15" s="13" t="s">
        <v>6</v>
      </c>
      <c r="BC15" s="13" t="s">
        <v>7</v>
      </c>
      <c r="BD15" s="13" t="s">
        <v>8</v>
      </c>
      <c r="BE15" s="13" t="s">
        <v>9</v>
      </c>
      <c r="BF15" s="13" t="s">
        <v>10</v>
      </c>
      <c r="BG15" s="13" t="s">
        <v>3</v>
      </c>
      <c r="BH15" s="14" t="s">
        <v>58</v>
      </c>
      <c r="BI15" s="13" t="s">
        <v>4</v>
      </c>
      <c r="BJ15" s="13" t="s">
        <v>5</v>
      </c>
      <c r="BK15" s="13" t="s">
        <v>6</v>
      </c>
      <c r="BL15" s="13" t="s">
        <v>7</v>
      </c>
      <c r="BM15" s="13" t="s">
        <v>8</v>
      </c>
      <c r="BN15" s="13" t="s">
        <v>11</v>
      </c>
      <c r="BO15" s="13" t="s">
        <v>12</v>
      </c>
      <c r="BP15" s="13" t="s">
        <v>13</v>
      </c>
      <c r="BQ15" s="13" t="s">
        <v>3</v>
      </c>
    </row>
    <row r="16" spans="2:69">
      <c r="B16">
        <v>0</v>
      </c>
      <c r="C16">
        <f>G7</f>
        <v>140</v>
      </c>
      <c r="D16">
        <f t="shared" ref="D16:D47" si="0">460+C16</f>
        <v>600</v>
      </c>
      <c r="F16">
        <f>G6</f>
        <v>500</v>
      </c>
      <c r="H16">
        <f t="shared" ref="H16:H47" si="1">BQ16</f>
        <v>0.94303052326056158</v>
      </c>
      <c r="J16">
        <f>G9</f>
        <v>0.65</v>
      </c>
      <c r="Q16" s="2">
        <f>(F16*$V$16)/(BQ16*10.73*D16)</f>
        <v>1.5507976490808908</v>
      </c>
      <c r="R16" s="2">
        <f t="shared" ref="R16:R47" si="2">Q16/62.4</f>
        <v>2.4852526427578379E-2</v>
      </c>
      <c r="S16" s="2">
        <v>375</v>
      </c>
      <c r="T16" s="2">
        <v>671</v>
      </c>
      <c r="U16" s="2">
        <f>G9</f>
        <v>0.65</v>
      </c>
      <c r="V16" s="2">
        <f>28.97*G9</f>
        <v>18.830500000000001</v>
      </c>
      <c r="W16" s="2">
        <f t="shared" ref="W16:W47" si="3">(9.379+0.01607*$V$16)*D16^1.5</f>
        <v>142289.96952809498</v>
      </c>
      <c r="X16" s="2">
        <f>209.2+19.26*$V$16+D16</f>
        <v>1171.8754300000001</v>
      </c>
      <c r="Y16" s="2">
        <f t="shared" ref="Y16:Y47" si="4">W16/X16</f>
        <v>121.42072944399472</v>
      </c>
      <c r="Z16" s="2">
        <f>3.448+(986.4/D16)+0.01009*$V$16</f>
        <v>5.2819997449999994</v>
      </c>
      <c r="AA16" s="2">
        <f t="shared" ref="AA16:AA47" si="5">2.447-(0.2224*Z16)</f>
        <v>1.2722832567120004</v>
      </c>
      <c r="AB16" s="2">
        <f t="shared" ref="AB16:AB47" si="6">EXP(Z16*R16^AA16)</f>
        <v>1.0491722728353319</v>
      </c>
      <c r="AC16" s="2">
        <f t="shared" ref="AC16:AC47" si="7">(Y16*10^-4)*AB16</f>
        <v>1.2739126268007984E-2</v>
      </c>
      <c r="AD16" s="2">
        <f t="shared" ref="AD16:AD47" si="8">(20.09*$U$16*$G$4)/($G$5*AC16)</f>
        <v>2356483.4509313023</v>
      </c>
      <c r="AG16">
        <v>5.9999999999999995E-4</v>
      </c>
      <c r="AH16">
        <f>AG16/3.7065</f>
        <v>1.6187778227438283E-4</v>
      </c>
      <c r="AI16">
        <f t="shared" ref="AI16:AI47" si="9">5.0452/AD16</f>
        <v>2.1409868157597687E-6</v>
      </c>
      <c r="AJ16">
        <f>(AG16^1.1098)/2.8257</f>
        <v>9.4029950191445224E-5</v>
      </c>
      <c r="AK16">
        <f t="shared" ref="AK16:AK47" si="10">(7.149/AD16)^0.8981</f>
        <v>1.1073044593325444E-5</v>
      </c>
      <c r="AL16">
        <f t="shared" ref="AL16:AL47" si="11">LOG($AJ$16+AK16)</f>
        <v>-3.9783849090909733</v>
      </c>
      <c r="AM16">
        <f t="shared" ref="AM16:AM47" si="12">-4*LOG($AH$16-AI16*AL16)</f>
        <v>15.074168005308964</v>
      </c>
      <c r="AN16">
        <f t="shared" ref="AN16:AN47" si="13">AM16^2</f>
        <v>227.23054105228044</v>
      </c>
      <c r="AO16">
        <f t="shared" ref="AO16:AO47" si="14">1/AN16</f>
        <v>4.4008168768560176E-3</v>
      </c>
      <c r="AQ16" s="3">
        <f>E16</f>
        <v>0</v>
      </c>
      <c r="AR16" s="3">
        <f t="shared" ref="AR16:AR47" si="15">D16</f>
        <v>600</v>
      </c>
      <c r="AS16" s="3">
        <f>G6</f>
        <v>500</v>
      </c>
      <c r="AT16" s="3">
        <f>S16</f>
        <v>375</v>
      </c>
      <c r="AU16" s="3">
        <f>T16</f>
        <v>671</v>
      </c>
      <c r="AV16" s="3">
        <f t="shared" ref="AV16:AV47" si="16">AR16/$AT$16</f>
        <v>1.6</v>
      </c>
      <c r="AW16" s="3">
        <f t="shared" ref="AW16:AW47" si="17">AS16/$AU$16</f>
        <v>0.7451564828614009</v>
      </c>
      <c r="AX16" s="4">
        <v>0.8</v>
      </c>
      <c r="AY16" s="5">
        <f t="shared" ref="AY16:AY47" si="18">0.27*AW16/AX16/AV16</f>
        <v>0.15718144560357675</v>
      </c>
      <c r="AZ16" s="5">
        <f t="shared" ref="AZ16:AZ47" si="19">($AR$12+$AT$12/AV16+$AV$12/AV16^3+$AX$12/AV16^4+$AZ$12/AV16^5)*AY16</f>
        <v>-7.4681353595679609E-2</v>
      </c>
      <c r="BA16" s="5">
        <f t="shared" ref="BA16:BA47" si="20">($BB$12+$BD$12/AV16+$AR$13/AV16^2)*AY16^2</f>
        <v>3.9398360285899962E-3</v>
      </c>
      <c r="BB16" s="5">
        <f t="shared" ref="BB16:BB47" si="21">$AT$13*($BD$12/AV16+$AR$13/AV16^2)*AY16^5</f>
        <v>-3.9313074953399843E-6</v>
      </c>
      <c r="BC16" s="5">
        <f t="shared" ref="BC16:BC47" si="22">$AV$13*(1+$AX$13*AY16^2)*(AY16^2/AV16^3)</f>
        <v>3.7657751723990979E-3</v>
      </c>
      <c r="BD16" s="5">
        <f t="shared" ref="BD16:BD47" si="23">EXP(-$AX$13*AY16^2)</f>
        <v>0.98234468325804625</v>
      </c>
      <c r="BE16" s="6">
        <f t="shared" ref="BE16:BE47" si="24">1+AZ16+BA16-BB16+BC16*BD16</f>
        <v>0.9329617029593571</v>
      </c>
      <c r="BF16" s="7">
        <f t="shared" ref="BF16:BF47" si="25">BE16-AX16</f>
        <v>0.13296170295935705</v>
      </c>
      <c r="BG16" s="5">
        <v>0.85</v>
      </c>
      <c r="BH16" s="5">
        <f t="shared" ref="BH16:BH47" si="26">0.27*AW16/BG16/AV16</f>
        <v>0.14793547821513106</v>
      </c>
      <c r="BI16" s="5">
        <f t="shared" ref="BI16:BI47" si="27">($AR$12+$AT$12/AV16+$AV$12/AV16^3+$AX$12/AV16^4+$AZ$12/AV16^5)*BH16</f>
        <v>-7.0288332795933758E-2</v>
      </c>
      <c r="BJ16" s="5">
        <f t="shared" ref="BJ16:BJ47" si="28">($BB$12+$BD$12/AV16+$AR$13/AV16^2)*BH16^2</f>
        <v>3.4899585581973673E-3</v>
      </c>
      <c r="BK16" s="5">
        <f t="shared" ref="BK16:BK47" si="29">$AT$13*($BD$12/AV16+$AR$13/AV16^2)*BH16^5</f>
        <v>-2.9033027186777404E-6</v>
      </c>
      <c r="BL16" s="5">
        <f t="shared" ref="BL16:BL47" si="30">$AV$13*(1+$AX$13*BH16^2)*(BH16^2/AV16^3)</f>
        <v>3.3291069004137432E-3</v>
      </c>
      <c r="BM16" s="5">
        <f t="shared" ref="BM16:BM47" si="31">EXP(-$AX$13*BH16^2)</f>
        <v>0.98434481947379804</v>
      </c>
      <c r="BN16" s="8">
        <f t="shared" ref="BN16:BN47" si="32">1+BI16+BJ16-BK16+(BL16*BM16)</f>
        <v>0.93648151819587899</v>
      </c>
      <c r="BO16" s="9">
        <f t="shared" ref="BO16:BO47" si="33">BN16-BG16</f>
        <v>8.6481518195879015E-2</v>
      </c>
      <c r="BP16" s="10">
        <f t="shared" ref="BP16:BP47" si="34">(BO16-BF16)/(BG16-AX16)</f>
        <v>-0.92960369526956199</v>
      </c>
      <c r="BQ16" s="10">
        <f t="shared" ref="BQ16:BQ47" si="35">AX16-BF16/BP16</f>
        <v>0.94303052326056158</v>
      </c>
    </row>
    <row r="17" spans="2:69">
      <c r="B17">
        <f t="shared" ref="B17:B48" si="36">B16+200</f>
        <v>200</v>
      </c>
      <c r="C17">
        <f>(C16+((180-140)/10000)*200)</f>
        <v>140.80000000000001</v>
      </c>
      <c r="D17">
        <f t="shared" si="0"/>
        <v>600.79999999999995</v>
      </c>
      <c r="E17">
        <f t="shared" ref="E17:E48" si="37">AVERAGE(D16:D17)</f>
        <v>600.4</v>
      </c>
      <c r="F17">
        <f>G6</f>
        <v>500</v>
      </c>
      <c r="G17">
        <f t="shared" ref="G17:G48" si="38">AVERAGE(F16:F17)</f>
        <v>500</v>
      </c>
      <c r="H17">
        <f t="shared" si="1"/>
        <v>0.94330241660840397</v>
      </c>
      <c r="I17">
        <f t="shared" ref="I17:I48" si="39">AVERAGE(H16:H17)</f>
        <v>0.94316646993448283</v>
      </c>
      <c r="K17">
        <f t="shared" ref="K17:K48" si="40">(-0.0375*$J$16*SIN(90)*200)/(I17*E17)</f>
        <v>-7.6962910232606556E-3</v>
      </c>
      <c r="L17">
        <f t="shared" ref="L17:L48" si="41">AO16</f>
        <v>4.4008168768560176E-3</v>
      </c>
      <c r="M17">
        <f>(L17*(I17*E17*$G$4)^2)/(SIN(90)*$G$5^5)</f>
        <v>197942580.06894556</v>
      </c>
      <c r="N17">
        <f>EXP(-K17)*(G17)^2-2.685*10^-3*M17*(1-EXP(-K17))</f>
        <v>256037.66942410648</v>
      </c>
      <c r="O17">
        <f>SQRT(N17)</f>
        <v>506.00164962587473</v>
      </c>
      <c r="Q17" s="2">
        <f t="shared" ref="Q17:Q66" si="42">(F17*$V$16)/(BQ17*10.73*D17)</f>
        <v>1.5482862722775319</v>
      </c>
      <c r="R17" s="2">
        <f t="shared" si="2"/>
        <v>2.4812280004447629E-2</v>
      </c>
      <c r="W17" s="2">
        <f t="shared" si="3"/>
        <v>142574.64430606135</v>
      </c>
      <c r="X17" s="2">
        <f t="shared" ref="X17:X66" si="43">209.2+19.26*$V$16+D17</f>
        <v>1172.67543</v>
      </c>
      <c r="Y17" s="2">
        <f t="shared" si="4"/>
        <v>121.58065280353094</v>
      </c>
      <c r="Z17" s="2">
        <f t="shared" ref="Z17:Z66" si="44">3.448+(986.4/D17)+0.01009*$V$16</f>
        <v>5.2798106637749669</v>
      </c>
      <c r="AA17" s="2">
        <f t="shared" si="5"/>
        <v>1.2727701083764476</v>
      </c>
      <c r="AB17" s="2">
        <f t="shared" si="6"/>
        <v>1.048957399540047</v>
      </c>
      <c r="AC17" s="2">
        <f t="shared" si="7"/>
        <v>1.2753292539917313E-2</v>
      </c>
      <c r="AD17" s="2">
        <f t="shared" si="8"/>
        <v>2353865.884901884</v>
      </c>
      <c r="AI17">
        <f t="shared" si="9"/>
        <v>2.1433676541899919E-6</v>
      </c>
      <c r="AK17">
        <f t="shared" si="10"/>
        <v>1.1084102758677138E-5</v>
      </c>
      <c r="AL17">
        <f t="shared" si="11"/>
        <v>-3.9783392182181503</v>
      </c>
      <c r="AM17">
        <f t="shared" si="12"/>
        <v>15.074072440625891</v>
      </c>
      <c r="AN17">
        <f t="shared" si="13"/>
        <v>227.22765994523698</v>
      </c>
      <c r="AO17">
        <f t="shared" si="14"/>
        <v>4.4008726765086834E-3</v>
      </c>
      <c r="AQ17" s="3">
        <f t="shared" ref="AQ17:AQ48" si="45">C17</f>
        <v>140.80000000000001</v>
      </c>
      <c r="AR17" s="3">
        <f t="shared" si="15"/>
        <v>600.79999999999995</v>
      </c>
      <c r="AS17">
        <f>AS16</f>
        <v>500</v>
      </c>
      <c r="AV17" s="3">
        <f t="shared" si="16"/>
        <v>1.6021333333333332</v>
      </c>
      <c r="AW17" s="3">
        <f t="shared" si="17"/>
        <v>0.7451564828614009</v>
      </c>
      <c r="AX17" s="4">
        <v>0.8</v>
      </c>
      <c r="AY17" s="5">
        <f t="shared" si="18"/>
        <v>0.15697214940437096</v>
      </c>
      <c r="AZ17" s="5">
        <f t="shared" si="19"/>
        <v>-7.4357368677307467E-2</v>
      </c>
      <c r="BA17" s="5">
        <f t="shared" si="20"/>
        <v>3.939721858417438E-3</v>
      </c>
      <c r="BB17" s="5">
        <f t="shared" si="21"/>
        <v>-3.9009672889023649E-6</v>
      </c>
      <c r="BC17" s="5">
        <f t="shared" si="22"/>
        <v>3.7405958801686513E-3</v>
      </c>
      <c r="BD17" s="5">
        <f t="shared" si="23"/>
        <v>0.98239125396530558</v>
      </c>
      <c r="BE17" s="6">
        <f t="shared" si="24"/>
        <v>0.93326098282569514</v>
      </c>
      <c r="BF17" s="7">
        <f t="shared" si="25"/>
        <v>0.1332609828256951</v>
      </c>
      <c r="BG17" s="5">
        <v>0.85</v>
      </c>
      <c r="BH17" s="5">
        <f t="shared" si="26"/>
        <v>0.14773849355705501</v>
      </c>
      <c r="BI17" s="5">
        <f t="shared" si="27"/>
        <v>-6.9983405813936431E-2</v>
      </c>
      <c r="BJ17" s="5">
        <f t="shared" si="28"/>
        <v>3.4898574247573151E-3</v>
      </c>
      <c r="BK17" s="5">
        <f t="shared" si="29"/>
        <v>-2.8808962282314955E-6</v>
      </c>
      <c r="BL17" s="5">
        <f t="shared" si="30"/>
        <v>3.3068646402216692E-3</v>
      </c>
      <c r="BM17" s="5">
        <f t="shared" si="31"/>
        <v>0.98438615630121107</v>
      </c>
      <c r="BN17" s="8">
        <f t="shared" si="32"/>
        <v>0.93676456427964527</v>
      </c>
      <c r="BO17" s="9">
        <f t="shared" si="33"/>
        <v>8.6764564279645295E-2</v>
      </c>
      <c r="BP17" s="10">
        <f t="shared" si="34"/>
        <v>-0.92992837092099723</v>
      </c>
      <c r="BQ17" s="10">
        <f t="shared" si="35"/>
        <v>0.94330241660840397</v>
      </c>
    </row>
    <row r="18" spans="2:69">
      <c r="B18">
        <f t="shared" si="36"/>
        <v>400</v>
      </c>
      <c r="C18">
        <f t="shared" ref="C18:C66" si="46">(C17+((180-140)/10000)*200)</f>
        <v>141.60000000000002</v>
      </c>
      <c r="D18">
        <f t="shared" si="0"/>
        <v>601.6</v>
      </c>
      <c r="E18">
        <f t="shared" si="37"/>
        <v>601.20000000000005</v>
      </c>
      <c r="F18">
        <f t="shared" ref="F18:F49" si="47">O17</f>
        <v>506.00164962587473</v>
      </c>
      <c r="G18">
        <f t="shared" si="38"/>
        <v>503.00082481293737</v>
      </c>
      <c r="H18">
        <f t="shared" si="1"/>
        <v>0.9429108464190511</v>
      </c>
      <c r="I18">
        <f t="shared" si="39"/>
        <v>0.94310663151372753</v>
      </c>
      <c r="K18">
        <f t="shared" si="40"/>
        <v>-7.6865374504190157E-3</v>
      </c>
      <c r="L18">
        <f t="shared" si="41"/>
        <v>4.4008726765086834E-3</v>
      </c>
      <c r="M18">
        <f t="shared" ref="M18:M66" si="48">(L18*(I18*E18*$G$4)^2)/(SIN(90)*$G$5^5)</f>
        <v>198447760.09153295</v>
      </c>
      <c r="N18">
        <f t="shared" ref="N18:N49" si="49">EXP(-K18)*(O17)^2-2.685*10^-3*M18*(1-EXP(-K18))</f>
        <v>262124.71166358169</v>
      </c>
      <c r="O18">
        <f t="shared" ref="O18:O49" si="50">SQRT(+N18)</f>
        <v>511.98116338746456</v>
      </c>
      <c r="Q18" s="2">
        <f t="shared" si="42"/>
        <v>1.5654370327239817</v>
      </c>
      <c r="R18" s="2">
        <f t="shared" si="2"/>
        <v>2.5087131934679194E-2</v>
      </c>
      <c r="W18" s="2">
        <f t="shared" si="3"/>
        <v>142859.50867765487</v>
      </c>
      <c r="X18" s="2">
        <f t="shared" si="43"/>
        <v>1173.47543</v>
      </c>
      <c r="Y18" s="2">
        <f t="shared" si="4"/>
        <v>121.74051967807701</v>
      </c>
      <c r="Z18" s="2">
        <f t="shared" si="44"/>
        <v>5.2776274045744671</v>
      </c>
      <c r="AA18" s="2">
        <f t="shared" si="5"/>
        <v>1.2732556652226386</v>
      </c>
      <c r="AB18" s="2">
        <f t="shared" si="6"/>
        <v>1.0495536105548511</v>
      </c>
      <c r="AC18" s="2">
        <f t="shared" si="7"/>
        <v>1.2777320197894963E-2</v>
      </c>
      <c r="AD18" s="2">
        <f t="shared" si="8"/>
        <v>2349439.4571743389</v>
      </c>
      <c r="AI18">
        <f t="shared" si="9"/>
        <v>2.1474058352913853E-6</v>
      </c>
      <c r="AK18">
        <f t="shared" si="10"/>
        <v>1.1102855842614827E-5</v>
      </c>
      <c r="AL18">
        <f t="shared" si="11"/>
        <v>-3.9782617439487726</v>
      </c>
      <c r="AM18">
        <f t="shared" si="12"/>
        <v>15.073910368310502</v>
      </c>
      <c r="AN18">
        <f t="shared" si="13"/>
        <v>227.22277379185886</v>
      </c>
      <c r="AO18">
        <f t="shared" si="14"/>
        <v>4.4009673120002594E-3</v>
      </c>
      <c r="AQ18" s="3">
        <f t="shared" si="45"/>
        <v>141.60000000000002</v>
      </c>
      <c r="AR18" s="3">
        <f t="shared" si="15"/>
        <v>601.6</v>
      </c>
      <c r="AS18">
        <f t="shared" ref="AS18:AS49" si="51">F18</f>
        <v>506.00164962587473</v>
      </c>
      <c r="AV18" s="3">
        <f t="shared" si="16"/>
        <v>1.6042666666666667</v>
      </c>
      <c r="AW18" s="3">
        <f t="shared" si="17"/>
        <v>0.75410081911456739</v>
      </c>
      <c r="AX18" s="4">
        <v>0.8</v>
      </c>
      <c r="AY18" s="5">
        <f t="shared" si="18"/>
        <v>0.15864508796407487</v>
      </c>
      <c r="AZ18" s="5">
        <f t="shared" si="19"/>
        <v>-7.4923742457223247E-2</v>
      </c>
      <c r="BA18" s="5">
        <f t="shared" si="20"/>
        <v>4.0347164642723287E-3</v>
      </c>
      <c r="BB18" s="5">
        <f t="shared" si="21"/>
        <v>-4.108861976862221E-6</v>
      </c>
      <c r="BC18" s="5">
        <f t="shared" si="22"/>
        <v>3.8069532786228709E-3</v>
      </c>
      <c r="BD18" s="5">
        <f t="shared" si="23"/>
        <v>0.982017334741494</v>
      </c>
      <c r="BE18" s="6">
        <f t="shared" si="24"/>
        <v>0.93285357698118465</v>
      </c>
      <c r="BF18" s="7">
        <f t="shared" si="25"/>
        <v>0.13285357698118461</v>
      </c>
      <c r="BG18" s="5">
        <v>0.85</v>
      </c>
      <c r="BH18" s="5">
        <f t="shared" si="26"/>
        <v>0.14931302396618812</v>
      </c>
      <c r="BI18" s="5">
        <f t="shared" si="27"/>
        <v>-7.051646348915129E-2</v>
      </c>
      <c r="BJ18" s="5">
        <f t="shared" si="28"/>
        <v>3.5740048956876E-3</v>
      </c>
      <c r="BK18" s="5">
        <f t="shared" si="29"/>
        <v>-3.0344281545608336E-6</v>
      </c>
      <c r="BL18" s="5">
        <f t="shared" si="30"/>
        <v>3.3653862694975191E-3</v>
      </c>
      <c r="BM18" s="5">
        <f t="shared" si="31"/>
        <v>0.9840542539224284</v>
      </c>
      <c r="BN18" s="8">
        <f t="shared" si="32"/>
        <v>0.93637229850928194</v>
      </c>
      <c r="BO18" s="9">
        <f t="shared" si="33"/>
        <v>8.6372298509281964E-2</v>
      </c>
      <c r="BP18" s="10">
        <f t="shared" si="34"/>
        <v>-0.92962556943805408</v>
      </c>
      <c r="BQ18" s="10">
        <f t="shared" si="35"/>
        <v>0.9429108464190511</v>
      </c>
    </row>
    <row r="19" spans="2:69">
      <c r="B19">
        <f t="shared" si="36"/>
        <v>600</v>
      </c>
      <c r="C19">
        <f t="shared" si="46"/>
        <v>142.40000000000003</v>
      </c>
      <c r="D19">
        <f t="shared" si="0"/>
        <v>602.40000000000009</v>
      </c>
      <c r="E19">
        <f t="shared" si="37"/>
        <v>602</v>
      </c>
      <c r="F19">
        <f t="shared" si="47"/>
        <v>511.98116338746456</v>
      </c>
      <c r="G19">
        <f t="shared" si="38"/>
        <v>508.99140650666965</v>
      </c>
      <c r="H19">
        <f t="shared" si="1"/>
        <v>0.94252767863029496</v>
      </c>
      <c r="I19">
        <f t="shared" si="39"/>
        <v>0.94271926252467297</v>
      </c>
      <c r="K19">
        <f t="shared" si="40"/>
        <v>-7.6794770297005672E-3</v>
      </c>
      <c r="L19">
        <f t="shared" si="41"/>
        <v>4.4009673120002594E-3</v>
      </c>
      <c r="M19">
        <f t="shared" si="48"/>
        <v>198817104.13188088</v>
      </c>
      <c r="N19">
        <f t="shared" si="49"/>
        <v>268260.71141157445</v>
      </c>
      <c r="O19">
        <f t="shared" si="50"/>
        <v>517.93890702627709</v>
      </c>
      <c r="Q19" s="2">
        <f t="shared" si="42"/>
        <v>1.5824756525898311</v>
      </c>
      <c r="R19" s="2">
        <f t="shared" si="2"/>
        <v>2.5360186740221655E-2</v>
      </c>
      <c r="W19" s="2">
        <f t="shared" si="3"/>
        <v>143144.562516773</v>
      </c>
      <c r="X19" s="2">
        <f t="shared" si="43"/>
        <v>1174.2754300000001</v>
      </c>
      <c r="Y19" s="2">
        <f t="shared" si="4"/>
        <v>121.90033007569015</v>
      </c>
      <c r="Z19" s="2">
        <f t="shared" si="44"/>
        <v>5.2754499442031868</v>
      </c>
      <c r="AA19" s="2">
        <f t="shared" si="5"/>
        <v>1.2737399324092114</v>
      </c>
      <c r="AB19" s="2">
        <f t="shared" si="6"/>
        <v>1.0501455999427913</v>
      </c>
      <c r="AC19" s="2">
        <f t="shared" si="7"/>
        <v>1.2801309526055992E-2</v>
      </c>
      <c r="AD19" s="2">
        <f t="shared" si="8"/>
        <v>2345036.6674427176</v>
      </c>
      <c r="AI19">
        <f t="shared" si="9"/>
        <v>2.1514375745355971E-6</v>
      </c>
      <c r="AK19">
        <f t="shared" si="10"/>
        <v>1.1121575426357256E-5</v>
      </c>
      <c r="AL19">
        <f t="shared" si="11"/>
        <v>-3.9781844218593854</v>
      </c>
      <c r="AM19">
        <f t="shared" si="12"/>
        <v>15.073748575357468</v>
      </c>
      <c r="AN19">
        <f t="shared" si="13"/>
        <v>227.21789611309131</v>
      </c>
      <c r="AO19">
        <f t="shared" si="14"/>
        <v>4.4010617874143069E-3</v>
      </c>
      <c r="AQ19" s="3">
        <f t="shared" si="45"/>
        <v>142.40000000000003</v>
      </c>
      <c r="AR19" s="3">
        <f t="shared" si="15"/>
        <v>602.40000000000009</v>
      </c>
      <c r="AS19">
        <f t="shared" si="51"/>
        <v>511.98116338746456</v>
      </c>
      <c r="AV19" s="3">
        <f t="shared" si="16"/>
        <v>1.6064000000000003</v>
      </c>
      <c r="AW19" s="3">
        <f t="shared" si="17"/>
        <v>0.76301216600218269</v>
      </c>
      <c r="AX19" s="4">
        <v>0.8</v>
      </c>
      <c r="AY19" s="5">
        <f t="shared" si="18"/>
        <v>0.16030665215745557</v>
      </c>
      <c r="AZ19" s="5">
        <f t="shared" si="19"/>
        <v>-7.5480838178533113E-2</v>
      </c>
      <c r="BA19" s="5">
        <f t="shared" si="20"/>
        <v>4.1304459779657725E-3</v>
      </c>
      <c r="BB19" s="5">
        <f t="shared" si="21"/>
        <v>-4.3239006198149118E-6</v>
      </c>
      <c r="BC19" s="5">
        <f t="shared" si="22"/>
        <v>3.8731019161719199E-3</v>
      </c>
      <c r="BD19" s="5">
        <f t="shared" si="23"/>
        <v>0.98164217731334791</v>
      </c>
      <c r="BE19" s="6">
        <f t="shared" si="24"/>
        <v>0.93245593189799991</v>
      </c>
      <c r="BF19" s="7">
        <f t="shared" si="25"/>
        <v>0.13245593189799987</v>
      </c>
      <c r="BG19" s="5">
        <v>0.85</v>
      </c>
      <c r="BH19" s="5">
        <f t="shared" si="26"/>
        <v>0.15087684908936996</v>
      </c>
      <c r="BI19" s="5">
        <f t="shared" si="27"/>
        <v>-7.1040788873913518E-2</v>
      </c>
      <c r="BJ19" s="5">
        <f t="shared" si="28"/>
        <v>3.6588033576444223E-3</v>
      </c>
      <c r="BK19" s="5">
        <f t="shared" si="29"/>
        <v>-3.1932359500449998E-6</v>
      </c>
      <c r="BL19" s="5">
        <f t="shared" si="30"/>
        <v>3.4237180045391643E-3</v>
      </c>
      <c r="BM19" s="5">
        <f t="shared" si="31"/>
        <v>0.98372123797211108</v>
      </c>
      <c r="BN19" s="8">
        <f t="shared" si="32"/>
        <v>0.93598919183357365</v>
      </c>
      <c r="BO19" s="9">
        <f t="shared" si="33"/>
        <v>8.5989191833573675E-2</v>
      </c>
      <c r="BP19" s="10">
        <f t="shared" si="34"/>
        <v>-0.92933480128852508</v>
      </c>
      <c r="BQ19" s="10">
        <f t="shared" si="35"/>
        <v>0.94252767863029496</v>
      </c>
    </row>
    <row r="20" spans="2:69">
      <c r="B20">
        <f t="shared" si="36"/>
        <v>800</v>
      </c>
      <c r="C20">
        <f t="shared" si="46"/>
        <v>143.20000000000005</v>
      </c>
      <c r="D20">
        <f t="shared" si="0"/>
        <v>603.20000000000005</v>
      </c>
      <c r="E20">
        <f t="shared" si="37"/>
        <v>602.80000000000007</v>
      </c>
      <c r="F20">
        <f t="shared" si="47"/>
        <v>517.93890702627709</v>
      </c>
      <c r="G20">
        <f t="shared" si="38"/>
        <v>514.96003520687077</v>
      </c>
      <c r="H20">
        <f t="shared" si="1"/>
        <v>0.94215279384790485</v>
      </c>
      <c r="I20">
        <f t="shared" si="39"/>
        <v>0.9423402362390999</v>
      </c>
      <c r="K20">
        <f t="shared" si="40"/>
        <v>-7.672370013698214E-3</v>
      </c>
      <c r="L20">
        <f t="shared" si="41"/>
        <v>4.4010617874143069E-3</v>
      </c>
      <c r="M20">
        <f t="shared" si="48"/>
        <v>199189884.37075496</v>
      </c>
      <c r="N20">
        <f t="shared" si="49"/>
        <v>274445.97839815548</v>
      </c>
      <c r="O20">
        <f t="shared" si="50"/>
        <v>523.87591889507144</v>
      </c>
      <c r="Q20" s="2">
        <f t="shared" si="42"/>
        <v>1.599403318213136</v>
      </c>
      <c r="R20" s="2">
        <f t="shared" si="2"/>
        <v>2.5631463432902821E-2</v>
      </c>
      <c r="W20" s="2">
        <f t="shared" si="3"/>
        <v>143429.80569756631</v>
      </c>
      <c r="X20" s="2">
        <f t="shared" si="43"/>
        <v>1175.0754300000001</v>
      </c>
      <c r="Y20" s="2">
        <f t="shared" si="4"/>
        <v>122.06008400462113</v>
      </c>
      <c r="Z20" s="2">
        <f t="shared" si="44"/>
        <v>5.2732782595888592</v>
      </c>
      <c r="AA20" s="2">
        <f t="shared" si="5"/>
        <v>1.2742229150674378</v>
      </c>
      <c r="AB20" s="2">
        <f t="shared" si="6"/>
        <v>1.0507333896077844</v>
      </c>
      <c r="AC20" s="2">
        <f t="shared" si="7"/>
        <v>1.2825260580198648E-2</v>
      </c>
      <c r="AD20" s="2">
        <f t="shared" si="8"/>
        <v>2340657.3334060158</v>
      </c>
      <c r="AI20">
        <f t="shared" si="9"/>
        <v>2.1554628813002968E-6</v>
      </c>
      <c r="AK20">
        <f t="shared" si="10"/>
        <v>1.1140261577979082E-5</v>
      </c>
      <c r="AL20">
        <f t="shared" si="11"/>
        <v>-3.9781072515900684</v>
      </c>
      <c r="AM20">
        <f t="shared" si="12"/>
        <v>15.07358706128387</v>
      </c>
      <c r="AN20">
        <f t="shared" si="13"/>
        <v>227.2130268941045</v>
      </c>
      <c r="AO20">
        <f t="shared" si="14"/>
        <v>4.4011561030172031E-3</v>
      </c>
      <c r="AQ20" s="3">
        <f t="shared" si="45"/>
        <v>143.20000000000005</v>
      </c>
      <c r="AR20" s="3">
        <f t="shared" si="15"/>
        <v>603.20000000000005</v>
      </c>
      <c r="AS20">
        <f t="shared" si="51"/>
        <v>517.93890702627709</v>
      </c>
      <c r="AV20" s="3">
        <f t="shared" si="16"/>
        <v>1.6085333333333334</v>
      </c>
      <c r="AW20" s="3">
        <f t="shared" si="17"/>
        <v>0.77189106859355749</v>
      </c>
      <c r="AX20" s="4">
        <v>0.8</v>
      </c>
      <c r="AY20" s="5">
        <f t="shared" si="18"/>
        <v>0.16195700160622034</v>
      </c>
      <c r="AZ20" s="5">
        <f t="shared" si="19"/>
        <v>-7.6028800786067968E-2</v>
      </c>
      <c r="BA20" s="5">
        <f t="shared" si="20"/>
        <v>4.226901603155581E-3</v>
      </c>
      <c r="BB20" s="5">
        <f t="shared" si="21"/>
        <v>-4.5461802975052329E-6</v>
      </c>
      <c r="BC20" s="5">
        <f t="shared" si="22"/>
        <v>3.9390333535388889E-3</v>
      </c>
      <c r="BD20" s="5">
        <f t="shared" si="23"/>
        <v>0.98126582685535768</v>
      </c>
      <c r="BE20" s="6">
        <f t="shared" si="24"/>
        <v>0.93206788581805622</v>
      </c>
      <c r="BF20" s="7">
        <f t="shared" si="25"/>
        <v>0.13206788581805617</v>
      </c>
      <c r="BG20" s="5">
        <v>0.85</v>
      </c>
      <c r="BH20" s="5">
        <f t="shared" si="26"/>
        <v>0.15243011915879565</v>
      </c>
      <c r="BI20" s="5">
        <f t="shared" si="27"/>
        <v>-7.1556518386887508E-2</v>
      </c>
      <c r="BJ20" s="5">
        <f t="shared" si="28"/>
        <v>3.7442450187122117E-3</v>
      </c>
      <c r="BK20" s="5">
        <f t="shared" si="29"/>
        <v>-3.3573913088690283E-6</v>
      </c>
      <c r="BL20" s="5">
        <f t="shared" si="30"/>
        <v>3.4818524053732763E-3</v>
      </c>
      <c r="BM20" s="5">
        <f t="shared" si="31"/>
        <v>0.98338714840287256</v>
      </c>
      <c r="BN20" s="8">
        <f t="shared" si="32"/>
        <v>0.93561509293121325</v>
      </c>
      <c r="BO20" s="9">
        <f t="shared" si="33"/>
        <v>8.5615092931213277E-2</v>
      </c>
      <c r="BP20" s="10">
        <f t="shared" si="34"/>
        <v>-0.92905585773685917</v>
      </c>
      <c r="BQ20" s="10">
        <f t="shared" si="35"/>
        <v>0.94215279384790485</v>
      </c>
    </row>
    <row r="21" spans="2:69">
      <c r="B21">
        <f t="shared" si="36"/>
        <v>1000</v>
      </c>
      <c r="C21">
        <f t="shared" si="46"/>
        <v>144.00000000000006</v>
      </c>
      <c r="D21">
        <f t="shared" si="0"/>
        <v>604</v>
      </c>
      <c r="E21">
        <f t="shared" si="37"/>
        <v>603.6</v>
      </c>
      <c r="F21">
        <f t="shared" si="47"/>
        <v>523.87591889507144</v>
      </c>
      <c r="G21">
        <f t="shared" si="38"/>
        <v>520.90741296067426</v>
      </c>
      <c r="H21">
        <f t="shared" si="1"/>
        <v>0.94178600103798016</v>
      </c>
      <c r="I21">
        <f t="shared" si="39"/>
        <v>0.9419693974429425</v>
      </c>
      <c r="K21">
        <f t="shared" si="40"/>
        <v>-7.6652176901096832E-3</v>
      </c>
      <c r="L21">
        <f t="shared" si="41"/>
        <v>4.4011561030172031E-3</v>
      </c>
      <c r="M21">
        <f t="shared" si="48"/>
        <v>199566057.87431693</v>
      </c>
      <c r="N21">
        <f t="shared" si="49"/>
        <v>280680.82264753629</v>
      </c>
      <c r="O21">
        <f t="shared" si="50"/>
        <v>529.79318856279781</v>
      </c>
      <c r="Q21" s="2">
        <f t="shared" si="42"/>
        <v>1.6162234219877225</v>
      </c>
      <c r="R21" s="2">
        <f t="shared" si="2"/>
        <v>2.5901016378008374E-2</v>
      </c>
      <c r="W21" s="2">
        <f t="shared" si="3"/>
        <v>143715.23809443437</v>
      </c>
      <c r="X21" s="2">
        <f t="shared" si="43"/>
        <v>1175.8754300000001</v>
      </c>
      <c r="Y21" s="2">
        <f t="shared" si="4"/>
        <v>122.21978147330995</v>
      </c>
      <c r="Z21" s="2">
        <f t="shared" si="44"/>
        <v>5.2711123277814567</v>
      </c>
      <c r="AA21" s="2">
        <f t="shared" si="5"/>
        <v>1.2747046183014041</v>
      </c>
      <c r="AB21" s="2">
        <f t="shared" si="6"/>
        <v>1.0513170942208923</v>
      </c>
      <c r="AC21" s="2">
        <f t="shared" si="7"/>
        <v>1.2849174551483267E-2</v>
      </c>
      <c r="AD21" s="2">
        <f t="shared" si="8"/>
        <v>2336301.0681818235</v>
      </c>
      <c r="AI21">
        <f t="shared" si="9"/>
        <v>2.159481955776496E-6</v>
      </c>
      <c r="AK21">
        <f t="shared" si="10"/>
        <v>1.1158915250930089E-5</v>
      </c>
      <c r="AL21">
        <f t="shared" si="11"/>
        <v>-3.978030229125828</v>
      </c>
      <c r="AM21">
        <f t="shared" si="12"/>
        <v>15.073425817952359</v>
      </c>
      <c r="AN21">
        <f t="shared" si="13"/>
        <v>227.20816588931274</v>
      </c>
      <c r="AO21">
        <f t="shared" si="14"/>
        <v>4.4012502635453797E-3</v>
      </c>
      <c r="AQ21" s="3">
        <f t="shared" si="45"/>
        <v>144.00000000000006</v>
      </c>
      <c r="AR21" s="3">
        <f t="shared" si="15"/>
        <v>604</v>
      </c>
      <c r="AS21">
        <f t="shared" si="51"/>
        <v>523.87591889507144</v>
      </c>
      <c r="AV21" s="3">
        <f t="shared" si="16"/>
        <v>1.6106666666666667</v>
      </c>
      <c r="AW21" s="3">
        <f t="shared" si="17"/>
        <v>0.78073907435927192</v>
      </c>
      <c r="AX21" s="4">
        <v>0.8</v>
      </c>
      <c r="AY21" s="5">
        <f t="shared" si="18"/>
        <v>0.16359650513012475</v>
      </c>
      <c r="AZ21" s="5">
        <f t="shared" si="19"/>
        <v>-7.6567871718260586E-2</v>
      </c>
      <c r="BA21" s="5">
        <f t="shared" si="20"/>
        <v>4.3240859577366271E-3</v>
      </c>
      <c r="BB21" s="5">
        <f t="shared" si="21"/>
        <v>-4.7758273190921095E-6</v>
      </c>
      <c r="BC21" s="5">
        <f t="shared" si="22"/>
        <v>4.004750142862043E-3</v>
      </c>
      <c r="BD21" s="5">
        <f t="shared" si="23"/>
        <v>0.98088827804235701</v>
      </c>
      <c r="BE21" s="6">
        <f t="shared" si="24"/>
        <v>0.93168920253841681</v>
      </c>
      <c r="BF21" s="7">
        <f t="shared" si="25"/>
        <v>0.13168920253841676</v>
      </c>
      <c r="BG21" s="5">
        <v>0.85</v>
      </c>
      <c r="BH21" s="5">
        <f t="shared" si="26"/>
        <v>0.15397318129894097</v>
      </c>
      <c r="BI21" s="5">
        <f t="shared" si="27"/>
        <v>-7.2063879264245276E-2</v>
      </c>
      <c r="BJ21" s="5">
        <f t="shared" si="28"/>
        <v>3.8303321978566678E-3</v>
      </c>
      <c r="BK21" s="5">
        <f t="shared" si="29"/>
        <v>-3.5269875113791976E-6</v>
      </c>
      <c r="BL21" s="5">
        <f t="shared" si="30"/>
        <v>3.5397917298356637E-3</v>
      </c>
      <c r="BM21" s="5">
        <f t="shared" si="31"/>
        <v>0.98305198034183761</v>
      </c>
      <c r="BN21" s="8">
        <f t="shared" si="32"/>
        <v>0.93524977919113539</v>
      </c>
      <c r="BO21" s="9">
        <f t="shared" si="33"/>
        <v>8.5249779191135411E-2</v>
      </c>
      <c r="BP21" s="10">
        <f t="shared" si="34"/>
        <v>-0.92878846694562822</v>
      </c>
      <c r="BQ21" s="10">
        <f t="shared" si="35"/>
        <v>0.94178600103798016</v>
      </c>
    </row>
    <row r="22" spans="2:69">
      <c r="B22">
        <f t="shared" si="36"/>
        <v>1200</v>
      </c>
      <c r="C22">
        <f t="shared" si="46"/>
        <v>144.80000000000007</v>
      </c>
      <c r="D22">
        <f t="shared" si="0"/>
        <v>604.80000000000007</v>
      </c>
      <c r="E22">
        <f t="shared" si="37"/>
        <v>604.40000000000009</v>
      </c>
      <c r="F22">
        <f t="shared" si="47"/>
        <v>529.79318856279781</v>
      </c>
      <c r="G22">
        <f t="shared" si="38"/>
        <v>526.83455372893468</v>
      </c>
      <c r="H22">
        <f t="shared" si="1"/>
        <v>0.94142711737343587</v>
      </c>
      <c r="I22">
        <f t="shared" si="39"/>
        <v>0.94160655920570802</v>
      </c>
      <c r="K22">
        <f t="shared" si="40"/>
        <v>-7.6580216048660254E-3</v>
      </c>
      <c r="L22">
        <f t="shared" si="41"/>
        <v>4.4012502635453797E-3</v>
      </c>
      <c r="M22">
        <f t="shared" si="48"/>
        <v>199945567.96638015</v>
      </c>
      <c r="N22">
        <f t="shared" si="49"/>
        <v>286965.55442505365</v>
      </c>
      <c r="O22">
        <f t="shared" si="50"/>
        <v>535.6916598427249</v>
      </c>
      <c r="Q22" s="2">
        <f t="shared" si="42"/>
        <v>1.6329391970138141</v>
      </c>
      <c r="R22" s="2">
        <f t="shared" si="2"/>
        <v>2.6168897388041894E-2</v>
      </c>
      <c r="W22" s="2">
        <f t="shared" si="3"/>
        <v>144000.85958202751</v>
      </c>
      <c r="X22" s="2">
        <f t="shared" si="43"/>
        <v>1176.6754300000002</v>
      </c>
      <c r="Y22" s="2">
        <f t="shared" si="4"/>
        <v>122.37942249038673</v>
      </c>
      <c r="Z22" s="2">
        <f t="shared" si="44"/>
        <v>5.2689521259523806</v>
      </c>
      <c r="AA22" s="2">
        <f t="shared" si="5"/>
        <v>1.2751850471881907</v>
      </c>
      <c r="AB22" s="2">
        <f t="shared" si="6"/>
        <v>1.0518968235941943</v>
      </c>
      <c r="AC22" s="2">
        <f t="shared" si="7"/>
        <v>1.2873052579092971E-2</v>
      </c>
      <c r="AD22" s="2">
        <f t="shared" si="8"/>
        <v>2331967.4991959226</v>
      </c>
      <c r="AI22">
        <f t="shared" si="9"/>
        <v>2.1634949894197142E-6</v>
      </c>
      <c r="AK22">
        <f t="shared" si="10"/>
        <v>1.1177537357298811E-5</v>
      </c>
      <c r="AL22">
        <f t="shared" si="11"/>
        <v>-3.9779533506253837</v>
      </c>
      <c r="AM22">
        <f t="shared" si="12"/>
        <v>15.073264837580322</v>
      </c>
      <c r="AN22">
        <f t="shared" si="13"/>
        <v>227.20331286383532</v>
      </c>
      <c r="AO22">
        <f t="shared" si="14"/>
        <v>4.4013442735287385E-3</v>
      </c>
      <c r="AQ22" s="3">
        <f t="shared" si="45"/>
        <v>144.80000000000007</v>
      </c>
      <c r="AR22" s="3">
        <f t="shared" si="15"/>
        <v>604.80000000000007</v>
      </c>
      <c r="AS22">
        <f t="shared" si="51"/>
        <v>529.79318856279781</v>
      </c>
      <c r="AV22" s="3">
        <f t="shared" si="16"/>
        <v>1.6128000000000002</v>
      </c>
      <c r="AW22" s="3">
        <f t="shared" si="17"/>
        <v>0.7895576580667627</v>
      </c>
      <c r="AX22" s="4">
        <v>0.8</v>
      </c>
      <c r="AY22" s="5">
        <f t="shared" si="18"/>
        <v>0.16522551438339061</v>
      </c>
      <c r="AZ22" s="5">
        <f t="shared" si="19"/>
        <v>-7.7098281824573511E-2</v>
      </c>
      <c r="BA22" s="5">
        <f t="shared" si="20"/>
        <v>4.4220016525948775E-3</v>
      </c>
      <c r="BB22" s="5">
        <f t="shared" si="21"/>
        <v>-5.0129689664072666E-6</v>
      </c>
      <c r="BC22" s="5">
        <f t="shared" si="22"/>
        <v>4.0702547952680013E-3</v>
      </c>
      <c r="BD22" s="5">
        <f t="shared" si="23"/>
        <v>0.98050952564376403</v>
      </c>
      <c r="BE22" s="6">
        <f t="shared" si="24"/>
        <v>0.93131965639554515</v>
      </c>
      <c r="BF22" s="7">
        <f t="shared" si="25"/>
        <v>0.1313196563955451</v>
      </c>
      <c r="BG22" s="5">
        <v>0.85</v>
      </c>
      <c r="BH22" s="5">
        <f t="shared" si="26"/>
        <v>0.15550636647848529</v>
      </c>
      <c r="BI22" s="5">
        <f t="shared" si="27"/>
        <v>-7.2563088776069179E-2</v>
      </c>
      <c r="BJ22" s="5">
        <f t="shared" si="28"/>
        <v>3.9170672078349088E-3</v>
      </c>
      <c r="BK22" s="5">
        <f t="shared" si="29"/>
        <v>-3.7021185562485992E-6</v>
      </c>
      <c r="BL22" s="5">
        <f t="shared" si="30"/>
        <v>3.5975381992018624E-3</v>
      </c>
      <c r="BM22" s="5">
        <f t="shared" si="31"/>
        <v>0.98271572899870441</v>
      </c>
      <c r="BN22" s="8">
        <f t="shared" si="32"/>
        <v>0.9348930379243513</v>
      </c>
      <c r="BO22" s="9">
        <f t="shared" si="33"/>
        <v>8.4893037924351322E-2</v>
      </c>
      <c r="BP22" s="10">
        <f t="shared" si="34"/>
        <v>-0.92853236942387685</v>
      </c>
      <c r="BQ22" s="10">
        <f t="shared" si="35"/>
        <v>0.94142711737343587</v>
      </c>
    </row>
    <row r="23" spans="2:69">
      <c r="B23">
        <f t="shared" si="36"/>
        <v>1400</v>
      </c>
      <c r="C23">
        <f t="shared" si="46"/>
        <v>145.60000000000008</v>
      </c>
      <c r="D23">
        <f t="shared" si="0"/>
        <v>605.60000000000014</v>
      </c>
      <c r="E23">
        <f t="shared" si="37"/>
        <v>605.20000000000005</v>
      </c>
      <c r="F23">
        <f t="shared" si="47"/>
        <v>535.6916598427249</v>
      </c>
      <c r="G23">
        <f t="shared" si="38"/>
        <v>532.74242420276141</v>
      </c>
      <c r="H23">
        <f t="shared" si="1"/>
        <v>0.94107596774368507</v>
      </c>
      <c r="I23">
        <f t="shared" si="39"/>
        <v>0.94125154255856047</v>
      </c>
      <c r="K23">
        <f t="shared" si="40"/>
        <v>-7.6507832386949219E-3</v>
      </c>
      <c r="L23">
        <f t="shared" si="41"/>
        <v>4.4013442735287385E-3</v>
      </c>
      <c r="M23">
        <f t="shared" si="48"/>
        <v>200328360.7470158</v>
      </c>
      <c r="N23">
        <f t="shared" si="49"/>
        <v>293300.48426705535</v>
      </c>
      <c r="O23">
        <f t="shared" si="50"/>
        <v>541.57223365591346</v>
      </c>
      <c r="Q23" s="2">
        <f t="shared" si="42"/>
        <v>1.6495537268781078</v>
      </c>
      <c r="R23" s="2">
        <f t="shared" si="2"/>
        <v>2.6435155879456856E-2</v>
      </c>
      <c r="W23" s="2">
        <f t="shared" si="3"/>
        <v>144286.67003524394</v>
      </c>
      <c r="X23" s="2">
        <f t="shared" si="43"/>
        <v>1177.4754300000002</v>
      </c>
      <c r="Y23" s="2">
        <f t="shared" si="4"/>
        <v>122.53900706466878</v>
      </c>
      <c r="Z23" s="2">
        <f t="shared" si="44"/>
        <v>5.2667976313936586</v>
      </c>
      <c r="AA23" s="2">
        <f t="shared" si="5"/>
        <v>1.2756642067780504</v>
      </c>
      <c r="AB23" s="2">
        <f t="shared" si="6"/>
        <v>1.0524726829575226</v>
      </c>
      <c r="AC23" s="2">
        <f t="shared" si="7"/>
        <v>1.2896895753230277E-2</v>
      </c>
      <c r="AD23" s="2">
        <f t="shared" si="8"/>
        <v>2327656.2673902428</v>
      </c>
      <c r="AI23">
        <f t="shared" si="9"/>
        <v>2.1675021654536024E-6</v>
      </c>
      <c r="AK23">
        <f t="shared" si="10"/>
        <v>1.1196128770194217E-5</v>
      </c>
      <c r="AL23">
        <f t="shared" si="11"/>
        <v>-3.9778766124111704</v>
      </c>
      <c r="AM23">
        <f t="shared" si="12"/>
        <v>15.073104112719436</v>
      </c>
      <c r="AN23">
        <f t="shared" si="13"/>
        <v>227.19846759287958</v>
      </c>
      <c r="AO23">
        <f t="shared" si="14"/>
        <v>4.4014381373025605E-3</v>
      </c>
      <c r="AQ23" s="3">
        <f t="shared" si="45"/>
        <v>145.60000000000008</v>
      </c>
      <c r="AR23" s="3">
        <f t="shared" si="15"/>
        <v>605.60000000000014</v>
      </c>
      <c r="AS23">
        <f t="shared" si="51"/>
        <v>535.6916598427249</v>
      </c>
      <c r="AV23" s="3">
        <f t="shared" si="16"/>
        <v>1.6149333333333338</v>
      </c>
      <c r="AW23" s="3">
        <f t="shared" si="17"/>
        <v>0.7983482262931817</v>
      </c>
      <c r="AX23" s="4">
        <v>0.8</v>
      </c>
      <c r="AY23" s="5">
        <f t="shared" si="18"/>
        <v>0.16684436491121332</v>
      </c>
      <c r="AZ23" s="5">
        <f t="shared" si="19"/>
        <v>-7.7620252000779225E-2</v>
      </c>
      <c r="BA23" s="5">
        <f t="shared" si="20"/>
        <v>4.5206512906688177E-3</v>
      </c>
      <c r="BB23" s="5">
        <f t="shared" si="21"/>
        <v>-5.2577335061141748E-6</v>
      </c>
      <c r="BC23" s="5">
        <f t="shared" si="22"/>
        <v>4.1355497808169914E-3</v>
      </c>
      <c r="BD23" s="5">
        <f t="shared" si="23"/>
        <v>0.9801295645263195</v>
      </c>
      <c r="BE23" s="6">
        <f t="shared" si="24"/>
        <v>0.93095903162914473</v>
      </c>
      <c r="BF23" s="7">
        <f t="shared" si="25"/>
        <v>0.13095903162914468</v>
      </c>
      <c r="BG23" s="5">
        <v>0.85</v>
      </c>
      <c r="BH23" s="5">
        <f t="shared" si="26"/>
        <v>0.1570299905046714</v>
      </c>
      <c r="BI23" s="5">
        <f t="shared" si="27"/>
        <v>-7.3054354824262813E-2</v>
      </c>
      <c r="BJ23" s="5">
        <f t="shared" si="28"/>
        <v>4.0044523543640758E-3</v>
      </c>
      <c r="BK23" s="5">
        <f t="shared" si="29"/>
        <v>-3.8828791694566294E-6</v>
      </c>
      <c r="BL23" s="5">
        <f t="shared" si="30"/>
        <v>3.6550939981491288E-3</v>
      </c>
      <c r="BM23" s="5">
        <f t="shared" si="31"/>
        <v>0.98237838966818514</v>
      </c>
      <c r="BN23" s="8">
        <f t="shared" si="32"/>
        <v>0.9345446657652583</v>
      </c>
      <c r="BO23" s="9">
        <f t="shared" si="33"/>
        <v>8.454466576525832E-2</v>
      </c>
      <c r="BP23" s="10">
        <f t="shared" si="34"/>
        <v>-0.92828731727772851</v>
      </c>
      <c r="BQ23" s="10">
        <f t="shared" si="35"/>
        <v>0.94107596774368507</v>
      </c>
    </row>
    <row r="24" spans="2:69">
      <c r="B24">
        <f t="shared" si="36"/>
        <v>1600</v>
      </c>
      <c r="C24">
        <f t="shared" si="46"/>
        <v>146.40000000000009</v>
      </c>
      <c r="D24">
        <f t="shared" si="0"/>
        <v>606.40000000000009</v>
      </c>
      <c r="E24">
        <f t="shared" si="37"/>
        <v>606.00000000000011</v>
      </c>
      <c r="F24">
        <f t="shared" si="47"/>
        <v>541.57223365591346</v>
      </c>
      <c r="G24">
        <f t="shared" si="38"/>
        <v>538.63194674931924</v>
      </c>
      <c r="H24">
        <f t="shared" si="1"/>
        <v>0.94073238429388628</v>
      </c>
      <c r="I24">
        <f t="shared" si="39"/>
        <v>0.94090417601878573</v>
      </c>
      <c r="K24">
        <f t="shared" si="40"/>
        <v>-7.6435040109522571E-3</v>
      </c>
      <c r="L24">
        <f t="shared" si="41"/>
        <v>4.4014381373025605E-3</v>
      </c>
      <c r="M24">
        <f t="shared" si="48"/>
        <v>200714384.92219704</v>
      </c>
      <c r="N24">
        <f t="shared" si="49"/>
        <v>299685.92300886026</v>
      </c>
      <c r="O24">
        <f t="shared" si="50"/>
        <v>547.4357706698205</v>
      </c>
      <c r="Q24" s="2">
        <f t="shared" si="42"/>
        <v>1.6660699549110676</v>
      </c>
      <c r="R24" s="2">
        <f t="shared" si="2"/>
        <v>2.66998390210107E-2</v>
      </c>
      <c r="W24" s="2">
        <f t="shared" si="3"/>
        <v>144572.66932922983</v>
      </c>
      <c r="X24" s="2">
        <f t="shared" si="43"/>
        <v>1178.2754300000001</v>
      </c>
      <c r="Y24" s="2">
        <f t="shared" si="4"/>
        <v>122.69853520515981</v>
      </c>
      <c r="Z24" s="2">
        <f t="shared" si="44"/>
        <v>5.2646488215171496</v>
      </c>
      <c r="AA24" s="2">
        <f t="shared" si="5"/>
        <v>1.276142102094586</v>
      </c>
      <c r="AB24" s="2">
        <f t="shared" si="6"/>
        <v>1.0530447732246198</v>
      </c>
      <c r="AC24" s="2">
        <f t="shared" si="7"/>
        <v>1.2920705118011055E-2</v>
      </c>
      <c r="AD24" s="2">
        <f t="shared" si="8"/>
        <v>2323367.0264665945</v>
      </c>
      <c r="AI24">
        <f t="shared" si="9"/>
        <v>2.1715036593563105E-6</v>
      </c>
      <c r="AK24">
        <f t="shared" si="10"/>
        <v>1.1214690326044368E-5</v>
      </c>
      <c r="AL24">
        <f t="shared" si="11"/>
        <v>-3.9778000109596992</v>
      </c>
      <c r="AM24">
        <f t="shared" si="12"/>
        <v>15.072943636235948</v>
      </c>
      <c r="AN24">
        <f t="shared" si="13"/>
        <v>227.19362986114575</v>
      </c>
      <c r="AO24">
        <f t="shared" si="14"/>
        <v>4.4015318590189846E-3</v>
      </c>
      <c r="AQ24" s="3">
        <f t="shared" si="45"/>
        <v>146.40000000000009</v>
      </c>
      <c r="AR24" s="3">
        <f t="shared" si="15"/>
        <v>606.40000000000009</v>
      </c>
      <c r="AS24">
        <f t="shared" si="51"/>
        <v>541.57223365591346</v>
      </c>
      <c r="AV24" s="3">
        <f t="shared" si="16"/>
        <v>1.6170666666666669</v>
      </c>
      <c r="AW24" s="3">
        <f t="shared" si="17"/>
        <v>0.80711212169286661</v>
      </c>
      <c r="AX24" s="4">
        <v>0.8</v>
      </c>
      <c r="AY24" s="5">
        <f t="shared" si="18"/>
        <v>0.16845337714669098</v>
      </c>
      <c r="AZ24" s="5">
        <f t="shared" si="19"/>
        <v>-7.8133993786188544E-2</v>
      </c>
      <c r="BA24" s="5">
        <f t="shared" si="20"/>
        <v>4.6200374673197467E-3</v>
      </c>
      <c r="BB24" s="5">
        <f t="shared" si="21"/>
        <v>-5.5102502048363584E-6</v>
      </c>
      <c r="BC24" s="5">
        <f t="shared" si="22"/>
        <v>4.200637529673425E-3</v>
      </c>
      <c r="BD24" s="5">
        <f t="shared" si="23"/>
        <v>0.97974838965110189</v>
      </c>
      <c r="BE24" s="6">
        <f t="shared" si="24"/>
        <v>0.93060712178654148</v>
      </c>
      <c r="BF24" s="7">
        <f t="shared" si="25"/>
        <v>0.13060712178654144</v>
      </c>
      <c r="BG24" s="5">
        <v>0.85</v>
      </c>
      <c r="BH24" s="5">
        <f t="shared" si="26"/>
        <v>0.15854435496159153</v>
      </c>
      <c r="BI24" s="5">
        <f t="shared" si="27"/>
        <v>-7.3537876504648048E-2</v>
      </c>
      <c r="BJ24" s="5">
        <f t="shared" si="28"/>
        <v>4.0924899364493264E-3</v>
      </c>
      <c r="BK24" s="5">
        <f t="shared" si="29"/>
        <v>-4.0693648154613402E-6</v>
      </c>
      <c r="BL24" s="5">
        <f t="shared" si="30"/>
        <v>3.7124612757990618E-3</v>
      </c>
      <c r="BM24" s="5">
        <f t="shared" si="31"/>
        <v>0.98203995772736674</v>
      </c>
      <c r="BN24" s="8">
        <f t="shared" si="32"/>
        <v>0.93420446811096691</v>
      </c>
      <c r="BO24" s="9">
        <f t="shared" si="33"/>
        <v>8.4204468110966935E-2</v>
      </c>
      <c r="BP24" s="10">
        <f t="shared" si="34"/>
        <v>-0.92805307351149124</v>
      </c>
      <c r="BQ24" s="10">
        <f t="shared" si="35"/>
        <v>0.94073238429388628</v>
      </c>
    </row>
    <row r="25" spans="2:69">
      <c r="B25">
        <f t="shared" si="36"/>
        <v>1800</v>
      </c>
      <c r="C25">
        <f t="shared" si="46"/>
        <v>147.2000000000001</v>
      </c>
      <c r="D25">
        <f t="shared" si="0"/>
        <v>607.20000000000005</v>
      </c>
      <c r="E25">
        <f t="shared" si="37"/>
        <v>606.80000000000007</v>
      </c>
      <c r="F25">
        <f t="shared" si="47"/>
        <v>547.4357706698205</v>
      </c>
      <c r="G25">
        <f t="shared" si="38"/>
        <v>544.50400216286698</v>
      </c>
      <c r="H25">
        <f t="shared" si="1"/>
        <v>0.94039620599937257</v>
      </c>
      <c r="I25">
        <f t="shared" si="39"/>
        <v>0.94056429514662943</v>
      </c>
      <c r="K25">
        <f t="shared" si="40"/>
        <v>-7.6361852831959018E-3</v>
      </c>
      <c r="L25">
        <f t="shared" si="41"/>
        <v>4.4015318590189846E-3</v>
      </c>
      <c r="M25">
        <f t="shared" si="48"/>
        <v>201103591.64501736</v>
      </c>
      <c r="N25">
        <f t="shared" si="49"/>
        <v>306122.18181093183</v>
      </c>
      <c r="O25">
        <f t="shared" si="50"/>
        <v>553.28309373315562</v>
      </c>
      <c r="Q25" s="2">
        <f t="shared" si="42"/>
        <v>1.6824906927221985</v>
      </c>
      <c r="R25" s="2">
        <f t="shared" si="2"/>
        <v>2.6962991870548052E-2</v>
      </c>
      <c r="W25" s="2">
        <f t="shared" si="3"/>
        <v>144858.85733937964</v>
      </c>
      <c r="X25" s="2">
        <f t="shared" si="43"/>
        <v>1179.0754300000001</v>
      </c>
      <c r="Y25" s="2">
        <f t="shared" si="4"/>
        <v>122.85800692104968</v>
      </c>
      <c r="Z25" s="2">
        <f t="shared" si="44"/>
        <v>5.2625056738537541</v>
      </c>
      <c r="AA25" s="2">
        <f t="shared" si="5"/>
        <v>1.2766187381349252</v>
      </c>
      <c r="AB25" s="2">
        <f t="shared" si="6"/>
        <v>1.05361319123938</v>
      </c>
      <c r="AC25" s="2">
        <f t="shared" si="7"/>
        <v>1.29444816741397E-2</v>
      </c>
      <c r="AD25" s="2">
        <f t="shared" si="8"/>
        <v>2319099.4421860604</v>
      </c>
      <c r="AI25">
        <f t="shared" si="9"/>
        <v>2.175499639310088E-6</v>
      </c>
      <c r="AK25">
        <f t="shared" si="10"/>
        <v>1.1233222826721132E-5</v>
      </c>
      <c r="AL25">
        <f t="shared" si="11"/>
        <v>-3.9777235428926434</v>
      </c>
      <c r="AM25">
        <f t="shared" si="12"/>
        <v>15.072783401292412</v>
      </c>
      <c r="AN25">
        <f t="shared" si="13"/>
        <v>227.18879946227605</v>
      </c>
      <c r="AO25">
        <f t="shared" si="14"/>
        <v>4.4016254426576459E-3</v>
      </c>
      <c r="AQ25" s="3">
        <f t="shared" si="45"/>
        <v>147.2000000000001</v>
      </c>
      <c r="AR25" s="3">
        <f t="shared" si="15"/>
        <v>607.20000000000005</v>
      </c>
      <c r="AS25">
        <f t="shared" si="51"/>
        <v>547.4357706698205</v>
      </c>
      <c r="AV25" s="3">
        <f t="shared" si="16"/>
        <v>1.6192000000000002</v>
      </c>
      <c r="AW25" s="3">
        <f t="shared" si="17"/>
        <v>0.81585062692968779</v>
      </c>
      <c r="AX25" s="4">
        <v>0.8</v>
      </c>
      <c r="AY25" s="5">
        <f t="shared" si="18"/>
        <v>0.17005285733002073</v>
      </c>
      <c r="AZ25" s="5">
        <f t="shared" si="19"/>
        <v>-7.863970991514381E-2</v>
      </c>
      <c r="BA25" s="5">
        <f t="shared" si="20"/>
        <v>4.7201627706741694E-3</v>
      </c>
      <c r="BB25" s="5">
        <f t="shared" si="21"/>
        <v>-5.7706493438739561E-6</v>
      </c>
      <c r="BC25" s="5">
        <f t="shared" si="22"/>
        <v>4.26552043321996E-3</v>
      </c>
      <c r="BD25" s="5">
        <f t="shared" si="23"/>
        <v>0.97936599607072117</v>
      </c>
      <c r="BE25" s="6">
        <f t="shared" si="24"/>
        <v>0.93026372917271483</v>
      </c>
      <c r="BF25" s="7">
        <f t="shared" si="25"/>
        <v>0.13026372917271478</v>
      </c>
      <c r="BG25" s="5">
        <v>0.85</v>
      </c>
      <c r="BH25" s="5">
        <f t="shared" si="26"/>
        <v>0.16004974807531366</v>
      </c>
      <c r="BI25" s="5">
        <f t="shared" si="27"/>
        <v>-7.4013844626017719E-2</v>
      </c>
      <c r="BJ25" s="5">
        <f t="shared" si="28"/>
        <v>4.1811822466871554E-3</v>
      </c>
      <c r="BK25" s="5">
        <f t="shared" si="29"/>
        <v>-4.2616717080677724E-6</v>
      </c>
      <c r="BL25" s="5">
        <f t="shared" si="30"/>
        <v>3.7696421467100314E-3</v>
      </c>
      <c r="BM25" s="5">
        <f t="shared" si="31"/>
        <v>0.98170042863322937</v>
      </c>
      <c r="BN25" s="8">
        <f t="shared" si="32"/>
        <v>0.93387225860359668</v>
      </c>
      <c r="BO25" s="9">
        <f t="shared" si="33"/>
        <v>8.3872258603596705E-2</v>
      </c>
      <c r="BP25" s="10">
        <f t="shared" si="34"/>
        <v>-0.92782941138236275</v>
      </c>
      <c r="BQ25" s="10">
        <f t="shared" si="35"/>
        <v>0.94039620599937257</v>
      </c>
    </row>
    <row r="26" spans="2:69">
      <c r="B26">
        <f t="shared" si="36"/>
        <v>2000</v>
      </c>
      <c r="C26">
        <f t="shared" si="46"/>
        <v>148.00000000000011</v>
      </c>
      <c r="D26">
        <f t="shared" si="0"/>
        <v>608.00000000000011</v>
      </c>
      <c r="E26">
        <f t="shared" si="37"/>
        <v>607.60000000000014</v>
      </c>
      <c r="F26">
        <f t="shared" si="47"/>
        <v>553.28309373315562</v>
      </c>
      <c r="G26">
        <f t="shared" si="38"/>
        <v>550.35943220148806</v>
      </c>
      <c r="H26">
        <f t="shared" si="1"/>
        <v>0.94006727827201009</v>
      </c>
      <c r="I26">
        <f t="shared" si="39"/>
        <v>0.94023174213569138</v>
      </c>
      <c r="K26">
        <f t="shared" si="40"/>
        <v>-7.6288283624913519E-3</v>
      </c>
      <c r="L26">
        <f t="shared" si="41"/>
        <v>4.4016254426576459E-3</v>
      </c>
      <c r="M26">
        <f t="shared" si="48"/>
        <v>201495934.36914405</v>
      </c>
      <c r="N26">
        <f t="shared" si="49"/>
        <v>312609.57218339853</v>
      </c>
      <c r="O26">
        <f t="shared" si="50"/>
        <v>559.11499012582249</v>
      </c>
      <c r="Q26" s="2">
        <f t="shared" si="42"/>
        <v>1.6988186280808415</v>
      </c>
      <c r="R26" s="2">
        <f t="shared" si="2"/>
        <v>2.7224657501295539E-2</v>
      </c>
      <c r="W26" s="2">
        <f t="shared" si="3"/>
        <v>145145.23394133284</v>
      </c>
      <c r="X26" s="2">
        <f t="shared" si="43"/>
        <v>1179.8754300000001</v>
      </c>
      <c r="Y26" s="2">
        <f t="shared" si="4"/>
        <v>123.01742222171102</v>
      </c>
      <c r="Z26" s="2">
        <f t="shared" si="44"/>
        <v>5.2603681660526309</v>
      </c>
      <c r="AA26" s="2">
        <f t="shared" si="5"/>
        <v>1.2770941198698951</v>
      </c>
      <c r="AB26" s="2">
        <f t="shared" si="6"/>
        <v>1.0541780300039867</v>
      </c>
      <c r="AC26" s="2">
        <f t="shared" si="7"/>
        <v>1.2968226381385197E-2</v>
      </c>
      <c r="AD26" s="2">
        <f t="shared" si="8"/>
        <v>2314853.1917190771</v>
      </c>
      <c r="AI26">
        <f t="shared" si="9"/>
        <v>2.1794902666174215E-6</v>
      </c>
      <c r="AK26">
        <f t="shared" si="10"/>
        <v>1.1251727041507447E-5</v>
      </c>
      <c r="AL26">
        <f t="shared" si="11"/>
        <v>-3.977647204968588</v>
      </c>
      <c r="AM26">
        <f t="shared" si="12"/>
        <v>15.072623401330826</v>
      </c>
      <c r="AN26">
        <f t="shared" si="13"/>
        <v>227.18397619834565</v>
      </c>
      <c r="AO26">
        <f t="shared" si="14"/>
        <v>4.4017188920354939E-3</v>
      </c>
      <c r="AQ26" s="3">
        <f t="shared" si="45"/>
        <v>148.00000000000011</v>
      </c>
      <c r="AR26" s="3">
        <f t="shared" si="15"/>
        <v>608.00000000000011</v>
      </c>
      <c r="AS26">
        <f t="shared" si="51"/>
        <v>553.28309373315562</v>
      </c>
      <c r="AV26" s="3">
        <f t="shared" si="16"/>
        <v>1.6213333333333337</v>
      </c>
      <c r="AW26" s="3">
        <f t="shared" si="17"/>
        <v>0.8245649683057461</v>
      </c>
      <c r="AX26" s="4">
        <v>0.8</v>
      </c>
      <c r="AY26" s="5">
        <f t="shared" si="18"/>
        <v>0.17164309835723021</v>
      </c>
      <c r="AZ26" s="5">
        <f t="shared" si="19"/>
        <v>-7.9137594827006927E-2</v>
      </c>
      <c r="BA26" s="5">
        <f t="shared" si="20"/>
        <v>4.8210297819402913E-3</v>
      </c>
      <c r="BB26" s="5">
        <f t="shared" si="21"/>
        <v>-6.0390622335339569E-6</v>
      </c>
      <c r="BC26" s="5">
        <f t="shared" si="22"/>
        <v>4.3302008451187824E-3</v>
      </c>
      <c r="BD26" s="5">
        <f t="shared" si="23"/>
        <v>0.97898237892667794</v>
      </c>
      <c r="BE26" s="6">
        <f t="shared" si="24"/>
        <v>0.9299286643417517</v>
      </c>
      <c r="BF26" s="7">
        <f t="shared" si="25"/>
        <v>0.12992866434175165</v>
      </c>
      <c r="BG26" s="5">
        <v>0.85</v>
      </c>
      <c r="BH26" s="5">
        <f t="shared" si="26"/>
        <v>0.16154644551268726</v>
      </c>
      <c r="BI26" s="5">
        <f t="shared" si="27"/>
        <v>-7.4482442190124162E-2</v>
      </c>
      <c r="BJ26" s="5">
        <f t="shared" si="28"/>
        <v>4.2705315715457258E-3</v>
      </c>
      <c r="BK26" s="5">
        <f t="shared" si="29"/>
        <v>-4.4598968210109221E-6</v>
      </c>
      <c r="BL26" s="5">
        <f t="shared" si="30"/>
        <v>3.8266386918226316E-3</v>
      </c>
      <c r="BM26" s="5">
        <f t="shared" si="31"/>
        <v>0.98135979792031125</v>
      </c>
      <c r="BN26" s="8">
        <f t="shared" si="32"/>
        <v>0.93354785865156376</v>
      </c>
      <c r="BO26" s="9">
        <f t="shared" si="33"/>
        <v>8.3547858651563778E-2</v>
      </c>
      <c r="BP26" s="10">
        <f t="shared" si="34"/>
        <v>-0.92761611380375875</v>
      </c>
      <c r="BQ26" s="10">
        <f t="shared" si="35"/>
        <v>0.94006727827201009</v>
      </c>
    </row>
    <row r="27" spans="2:69" ht="18">
      <c r="B27">
        <f t="shared" si="36"/>
        <v>2200</v>
      </c>
      <c r="C27">
        <f t="shared" si="46"/>
        <v>148.80000000000013</v>
      </c>
      <c r="D27">
        <f t="shared" si="0"/>
        <v>608.80000000000018</v>
      </c>
      <c r="E27">
        <f t="shared" si="37"/>
        <v>608.40000000000009</v>
      </c>
      <c r="F27">
        <f t="shared" si="47"/>
        <v>559.11499012582249</v>
      </c>
      <c r="G27">
        <f t="shared" si="38"/>
        <v>556.19904192948911</v>
      </c>
      <c r="H27">
        <f t="shared" si="1"/>
        <v>0.93974545259558362</v>
      </c>
      <c r="I27">
        <f t="shared" si="39"/>
        <v>0.93990636543379691</v>
      </c>
      <c r="K27">
        <f t="shared" si="40"/>
        <v>-7.6214345044737447E-3</v>
      </c>
      <c r="L27">
        <f t="shared" si="41"/>
        <v>4.4017188920354939E-3</v>
      </c>
      <c r="M27">
        <f t="shared" si="48"/>
        <v>201891368.71336871</v>
      </c>
      <c r="N27">
        <f t="shared" si="49"/>
        <v>319148.40600904386</v>
      </c>
      <c r="O27">
        <f t="shared" si="50"/>
        <v>564.93221364075521</v>
      </c>
      <c r="P27" s="1"/>
      <c r="Q27" s="2">
        <f t="shared" si="42"/>
        <v>1.7150563322027315</v>
      </c>
      <c r="R27" s="2">
        <f t="shared" si="2"/>
        <v>2.7484877118633518E-2</v>
      </c>
      <c r="S27" s="1"/>
      <c r="T27" s="1"/>
      <c r="U27" s="1"/>
      <c r="V27" s="1"/>
      <c r="W27" s="2">
        <f t="shared" si="3"/>
        <v>145431.79901097534</v>
      </c>
      <c r="X27" s="2">
        <f t="shared" si="43"/>
        <v>1180.6754300000002</v>
      </c>
      <c r="Y27" s="2">
        <f t="shared" si="4"/>
        <v>123.17678111669971</v>
      </c>
      <c r="Z27" s="2">
        <f t="shared" si="44"/>
        <v>5.25823627588042</v>
      </c>
      <c r="AA27" s="2">
        <f t="shared" si="5"/>
        <v>1.2775682522441947</v>
      </c>
      <c r="AB27" s="2">
        <f t="shared" si="6"/>
        <v>1.0547393788905566</v>
      </c>
      <c r="AC27" s="2">
        <f t="shared" si="7"/>
        <v>1.299194016087659E-2</v>
      </c>
      <c r="AD27" s="2">
        <f t="shared" si="8"/>
        <v>2310627.9630416324</v>
      </c>
      <c r="AE27" s="1"/>
      <c r="AF27" s="1"/>
      <c r="AG27" s="1"/>
      <c r="AH27" s="1"/>
      <c r="AI27">
        <f t="shared" si="9"/>
        <v>2.1834756960868203E-6</v>
      </c>
      <c r="AJ27" s="1"/>
      <c r="AK27">
        <f t="shared" si="10"/>
        <v>1.1270203708920818E-5</v>
      </c>
      <c r="AL27">
        <f t="shared" si="11"/>
        <v>-3.9775709940753785</v>
      </c>
      <c r="AM27">
        <f t="shared" si="12"/>
        <v>15.07246363005696</v>
      </c>
      <c r="AN27">
        <f t="shared" si="13"/>
        <v>227.17915987938983</v>
      </c>
      <c r="AO27">
        <f t="shared" si="14"/>
        <v>4.4018122108159183E-3</v>
      </c>
      <c r="AQ27" s="3">
        <f t="shared" si="45"/>
        <v>148.80000000000013</v>
      </c>
      <c r="AR27" s="3">
        <f t="shared" si="15"/>
        <v>608.80000000000018</v>
      </c>
      <c r="AS27">
        <f t="shared" si="51"/>
        <v>559.11499012582249</v>
      </c>
      <c r="AV27" s="3">
        <f t="shared" si="16"/>
        <v>1.6234666666666671</v>
      </c>
      <c r="AW27" s="3">
        <f t="shared" si="17"/>
        <v>0.8332563191144895</v>
      </c>
      <c r="AX27" s="4">
        <v>0.8</v>
      </c>
      <c r="AY27" s="5">
        <f t="shared" si="18"/>
        <v>0.17322438056492698</v>
      </c>
      <c r="AZ27" s="5">
        <f t="shared" si="19"/>
        <v>-7.9627835138416397E-2</v>
      </c>
      <c r="BA27" s="5">
        <f t="shared" si="20"/>
        <v>4.9226410757006751E-3</v>
      </c>
      <c r="BB27" s="5">
        <f t="shared" si="21"/>
        <v>-6.3156212270982323E-6</v>
      </c>
      <c r="BC27" s="5">
        <f t="shared" si="22"/>
        <v>4.3946810823237243E-3</v>
      </c>
      <c r="BD27" s="5">
        <f t="shared" si="23"/>
        <v>0.9785975334468755</v>
      </c>
      <c r="BE27" s="6">
        <f t="shared" si="24"/>
        <v>0.9296017456259591</v>
      </c>
      <c r="BF27" s="7">
        <f t="shared" si="25"/>
        <v>0.12960174562595905</v>
      </c>
      <c r="BG27" s="5">
        <v>0.85</v>
      </c>
      <c r="BH27" s="5">
        <f t="shared" si="26"/>
        <v>0.16303471111993131</v>
      </c>
      <c r="BI27" s="5">
        <f t="shared" si="27"/>
        <v>-7.4943844836156626E-2</v>
      </c>
      <c r="BJ27" s="5">
        <f t="shared" si="28"/>
        <v>4.3605401916241293E-3</v>
      </c>
      <c r="BK27" s="5">
        <f t="shared" si="29"/>
        <v>-4.6641378982712792E-6</v>
      </c>
      <c r="BL27" s="5">
        <f t="shared" si="30"/>
        <v>3.8834529593614726E-3</v>
      </c>
      <c r="BM27" s="5">
        <f t="shared" si="31"/>
        <v>0.98101806119850832</v>
      </c>
      <c r="BN27" s="8">
        <f t="shared" si="32"/>
        <v>0.93323109698631423</v>
      </c>
      <c r="BO27" s="9">
        <f t="shared" si="33"/>
        <v>8.3231096986314257E-2</v>
      </c>
      <c r="BP27" s="10">
        <f t="shared" si="34"/>
        <v>-0.92741297279289714</v>
      </c>
      <c r="BQ27" s="10">
        <f t="shared" si="35"/>
        <v>0.93974545259558362</v>
      </c>
    </row>
    <row r="28" spans="2:69">
      <c r="B28">
        <f t="shared" si="36"/>
        <v>2400</v>
      </c>
      <c r="C28">
        <f t="shared" si="46"/>
        <v>149.60000000000014</v>
      </c>
      <c r="D28">
        <f t="shared" si="0"/>
        <v>609.60000000000014</v>
      </c>
      <c r="E28">
        <f t="shared" si="37"/>
        <v>609.20000000000016</v>
      </c>
      <c r="F28">
        <f t="shared" si="47"/>
        <v>564.93221364075521</v>
      </c>
      <c r="G28">
        <f t="shared" si="38"/>
        <v>562.02360188328885</v>
      </c>
      <c r="H28">
        <f t="shared" si="1"/>
        <v>0.93943058618762143</v>
      </c>
      <c r="I28">
        <f t="shared" si="39"/>
        <v>0.93958801939160252</v>
      </c>
      <c r="K28">
        <f t="shared" si="40"/>
        <v>-7.6140049161879907E-3</v>
      </c>
      <c r="L28">
        <f t="shared" si="41"/>
        <v>4.4018122108159183E-3</v>
      </c>
      <c r="M28">
        <f t="shared" si="48"/>
        <v>202289852.33624724</v>
      </c>
      <c r="N28">
        <f t="shared" si="49"/>
        <v>325738.99556487578</v>
      </c>
      <c r="O28">
        <f t="shared" si="50"/>
        <v>570.73548651268902</v>
      </c>
      <c r="Q28" s="2">
        <f t="shared" si="42"/>
        <v>1.7312062664960934</v>
      </c>
      <c r="R28" s="2">
        <f t="shared" si="2"/>
        <v>2.7743690168206627E-2</v>
      </c>
      <c r="W28" s="2">
        <f t="shared" si="3"/>
        <v>145718.55242443719</v>
      </c>
      <c r="X28" s="2">
        <f t="shared" si="43"/>
        <v>1181.4754300000002</v>
      </c>
      <c r="Y28" s="2">
        <f t="shared" si="4"/>
        <v>123.33608361575253</v>
      </c>
      <c r="Z28" s="2">
        <f t="shared" si="44"/>
        <v>5.2561099812204715</v>
      </c>
      <c r="AA28" s="2">
        <f t="shared" si="5"/>
        <v>1.2780411401765672</v>
      </c>
      <c r="AB28" s="2">
        <f t="shared" si="6"/>
        <v>1.0552973238377432</v>
      </c>
      <c r="AC28" s="2">
        <f t="shared" si="7"/>
        <v>1.3015623897233177E-2</v>
      </c>
      <c r="AD28" s="2">
        <f t="shared" si="8"/>
        <v>2306423.4543736717</v>
      </c>
      <c r="AI28">
        <f t="shared" si="9"/>
        <v>2.1874560763908233E-6</v>
      </c>
      <c r="AK28">
        <f t="shared" si="10"/>
        <v>1.1288653538406072E-5</v>
      </c>
      <c r="AL28">
        <f t="shared" si="11"/>
        <v>-3.977494907223019</v>
      </c>
      <c r="AM28">
        <f t="shared" si="12"/>
        <v>15.072304081425836</v>
      </c>
      <c r="AN28">
        <f t="shared" si="13"/>
        <v>227.17435032296592</v>
      </c>
      <c r="AO28">
        <f t="shared" si="14"/>
        <v>4.4019054025172056E-3</v>
      </c>
      <c r="AQ28" s="3">
        <f t="shared" si="45"/>
        <v>149.60000000000014</v>
      </c>
      <c r="AR28" s="3">
        <f t="shared" si="15"/>
        <v>609.60000000000014</v>
      </c>
      <c r="AS28">
        <f t="shared" si="51"/>
        <v>564.93221364075521</v>
      </c>
      <c r="AV28" s="3">
        <f t="shared" si="16"/>
        <v>1.6256000000000004</v>
      </c>
      <c r="AW28" s="3">
        <f t="shared" si="17"/>
        <v>0.84192580274330131</v>
      </c>
      <c r="AX28" s="4">
        <v>0.8</v>
      </c>
      <c r="AY28" s="5">
        <f t="shared" si="18"/>
        <v>0.17479697245685541</v>
      </c>
      <c r="AZ28" s="5">
        <f t="shared" si="19"/>
        <v>-8.0110610081188485E-2</v>
      </c>
      <c r="BA28" s="5">
        <f t="shared" si="20"/>
        <v>5.024999220182914E-3</v>
      </c>
      <c r="BB28" s="5">
        <f t="shared" si="21"/>
        <v>-6.6004597344513191E-6</v>
      </c>
      <c r="BC28" s="5">
        <f t="shared" si="22"/>
        <v>4.4589634260464783E-3</v>
      </c>
      <c r="BD28" s="5">
        <f t="shared" si="23"/>
        <v>0.97821145494327355</v>
      </c>
      <c r="BE28" s="6">
        <f t="shared" si="24"/>
        <v>0.92928279869926067</v>
      </c>
      <c r="BF28" s="7">
        <f t="shared" si="25"/>
        <v>0.12928279869926063</v>
      </c>
      <c r="BG28" s="5">
        <v>0.85</v>
      </c>
      <c r="BH28" s="5">
        <f t="shared" si="26"/>
        <v>0.16451479760645216</v>
      </c>
      <c r="BI28" s="5">
        <f t="shared" si="27"/>
        <v>-7.5398221252883285E-2</v>
      </c>
      <c r="BJ28" s="5">
        <f t="shared" si="28"/>
        <v>4.4512103818921313E-3</v>
      </c>
      <c r="BK28" s="5">
        <f t="shared" si="29"/>
        <v>-4.8744934641390139E-6</v>
      </c>
      <c r="BL28" s="5">
        <f t="shared" si="30"/>
        <v>3.9400869656961131E-3</v>
      </c>
      <c r="BM28" s="5">
        <f t="shared" si="31"/>
        <v>0.98067521415100045</v>
      </c>
      <c r="BN28" s="8">
        <f t="shared" si="32"/>
        <v>0.9329218092513305</v>
      </c>
      <c r="BO28" s="9">
        <f t="shared" si="33"/>
        <v>8.2921809251330525E-2</v>
      </c>
      <c r="BP28" s="10">
        <f t="shared" si="34"/>
        <v>-0.92721978895860324</v>
      </c>
      <c r="BQ28" s="10">
        <f t="shared" si="35"/>
        <v>0.93943058618762143</v>
      </c>
    </row>
    <row r="29" spans="2:69">
      <c r="B29">
        <f t="shared" si="36"/>
        <v>2600</v>
      </c>
      <c r="C29">
        <f t="shared" si="46"/>
        <v>150.40000000000015</v>
      </c>
      <c r="D29">
        <f t="shared" si="0"/>
        <v>610.40000000000009</v>
      </c>
      <c r="E29">
        <f t="shared" si="37"/>
        <v>610.00000000000011</v>
      </c>
      <c r="F29">
        <f t="shared" si="47"/>
        <v>570.73548651268902</v>
      </c>
      <c r="G29">
        <f t="shared" si="38"/>
        <v>567.83385007672211</v>
      </c>
      <c r="H29">
        <f t="shared" si="1"/>
        <v>0.93912254168533305</v>
      </c>
      <c r="I29">
        <f t="shared" si="39"/>
        <v>0.93927656393647729</v>
      </c>
      <c r="K29">
        <f t="shared" si="40"/>
        <v>-7.6065407587266563E-3</v>
      </c>
      <c r="L29">
        <f t="shared" si="41"/>
        <v>4.4019054025172056E-3</v>
      </c>
      <c r="M29">
        <f t="shared" si="48"/>
        <v>202691344.81992319</v>
      </c>
      <c r="N29">
        <f t="shared" si="49"/>
        <v>332381.65354237915</v>
      </c>
      <c r="O29">
        <f t="shared" si="50"/>
        <v>576.52550120734395</v>
      </c>
      <c r="Q29" s="2">
        <f t="shared" si="42"/>
        <v>1.7472707888154229</v>
      </c>
      <c r="R29" s="2">
        <f t="shared" si="2"/>
        <v>2.8001134436144597E-2</v>
      </c>
      <c r="W29" s="2">
        <f t="shared" si="3"/>
        <v>146005.49405809227</v>
      </c>
      <c r="X29" s="2">
        <f t="shared" si="43"/>
        <v>1182.2754300000001</v>
      </c>
      <c r="Y29" s="2">
        <f t="shared" si="4"/>
        <v>123.495329728786</v>
      </c>
      <c r="Z29" s="2">
        <f t="shared" si="44"/>
        <v>5.2539892600720837</v>
      </c>
      <c r="AA29" s="2">
        <f t="shared" si="5"/>
        <v>1.2785127885599687</v>
      </c>
      <c r="AB29" s="2">
        <f t="shared" si="6"/>
        <v>1.0558519475335968</v>
      </c>
      <c r="AC29" s="2">
        <f t="shared" si="7"/>
        <v>1.303927844054424E-2</v>
      </c>
      <c r="AD29" s="2">
        <f t="shared" si="8"/>
        <v>2302239.3736560233</v>
      </c>
      <c r="AI29">
        <f t="shared" si="9"/>
        <v>2.1914315503987215E-6</v>
      </c>
      <c r="AK29">
        <f t="shared" si="10"/>
        <v>1.1307077211908366E-5</v>
      </c>
      <c r="AL29">
        <f t="shared" si="11"/>
        <v>-3.977418941537072</v>
      </c>
      <c r="AM29">
        <f t="shared" si="12"/>
        <v>15.072144749628226</v>
      </c>
      <c r="AN29">
        <f t="shared" si="13"/>
        <v>227.16954735374568</v>
      </c>
      <c r="AO29">
        <f t="shared" si="14"/>
        <v>4.4019984705203994E-3</v>
      </c>
      <c r="AQ29" s="3">
        <f t="shared" si="45"/>
        <v>150.40000000000015</v>
      </c>
      <c r="AR29" s="3">
        <f t="shared" si="15"/>
        <v>610.40000000000009</v>
      </c>
      <c r="AS29">
        <f t="shared" si="51"/>
        <v>570.73548651268902</v>
      </c>
      <c r="AV29" s="3">
        <f t="shared" si="16"/>
        <v>1.6277333333333335</v>
      </c>
      <c r="AW29" s="3">
        <f t="shared" si="17"/>
        <v>0.85057449554797171</v>
      </c>
      <c r="AX29" s="4">
        <v>0.8</v>
      </c>
      <c r="AY29" s="5">
        <f t="shared" si="18"/>
        <v>0.17636113137744128</v>
      </c>
      <c r="AZ29" s="5">
        <f t="shared" si="19"/>
        <v>-8.0586091908884966E-2</v>
      </c>
      <c r="BA29" s="5">
        <f t="shared" si="20"/>
        <v>5.1281067775098971E-3</v>
      </c>
      <c r="BB29" s="5">
        <f t="shared" si="21"/>
        <v>-6.8937122353881776E-6</v>
      </c>
      <c r="BC29" s="5">
        <f t="shared" si="22"/>
        <v>4.5230501226798938E-3</v>
      </c>
      <c r="BD29" s="5">
        <f t="shared" si="23"/>
        <v>0.97782413880967434</v>
      </c>
      <c r="BE29" s="6">
        <f t="shared" si="24"/>
        <v>0.92897165617186273</v>
      </c>
      <c r="BF29" s="7">
        <f t="shared" si="25"/>
        <v>0.12897165617186268</v>
      </c>
      <c r="BG29" s="5">
        <v>0.85</v>
      </c>
      <c r="BH29" s="5">
        <f t="shared" si="26"/>
        <v>0.16598694717876827</v>
      </c>
      <c r="BI29" s="5">
        <f t="shared" si="27"/>
        <v>-7.5845733561303502E-2</v>
      </c>
      <c r="BJ29" s="5">
        <f t="shared" si="28"/>
        <v>4.5425444119118813E-3</v>
      </c>
      <c r="BK29" s="5">
        <f t="shared" si="29"/>
        <v>-5.0910628330419167E-6</v>
      </c>
      <c r="BL29" s="5">
        <f t="shared" si="30"/>
        <v>3.9965426961638666E-3</v>
      </c>
      <c r="BM29" s="5">
        <f t="shared" si="31"/>
        <v>0.98033125253229381</v>
      </c>
      <c r="BN29" s="8">
        <f t="shared" si="32"/>
        <v>0.93261983762057055</v>
      </c>
      <c r="BO29" s="9">
        <f t="shared" si="33"/>
        <v>8.2619837620570569E-2</v>
      </c>
      <c r="BP29" s="10">
        <f t="shared" si="34"/>
        <v>-0.92703637102584346</v>
      </c>
      <c r="BQ29" s="10">
        <f t="shared" si="35"/>
        <v>0.93912254168533305</v>
      </c>
    </row>
    <row r="30" spans="2:69">
      <c r="B30">
        <f t="shared" si="36"/>
        <v>2800</v>
      </c>
      <c r="C30">
        <f t="shared" si="46"/>
        <v>151.20000000000016</v>
      </c>
      <c r="D30">
        <f t="shared" si="0"/>
        <v>611.20000000000016</v>
      </c>
      <c r="E30">
        <f t="shared" si="37"/>
        <v>610.80000000000018</v>
      </c>
      <c r="F30">
        <f t="shared" si="47"/>
        <v>576.52550120734395</v>
      </c>
      <c r="G30">
        <f t="shared" si="38"/>
        <v>573.63049386001649</v>
      </c>
      <c r="H30">
        <f t="shared" si="1"/>
        <v>0.93882118685357219</v>
      </c>
      <c r="I30">
        <f t="shared" si="39"/>
        <v>0.93897186426945267</v>
      </c>
      <c r="K30">
        <f t="shared" si="40"/>
        <v>-7.5990431496830808E-3</v>
      </c>
      <c r="L30">
        <f t="shared" si="41"/>
        <v>4.4019984705203994E-3</v>
      </c>
      <c r="M30">
        <f t="shared" si="48"/>
        <v>203095807.56232491</v>
      </c>
      <c r="N30">
        <f t="shared" si="49"/>
        <v>339076.69306653918</v>
      </c>
      <c r="O30">
        <f t="shared" si="50"/>
        <v>582.30292208311914</v>
      </c>
      <c r="Q30" s="2">
        <f t="shared" si="42"/>
        <v>1.7632521592661243</v>
      </c>
      <c r="R30" s="2">
        <f t="shared" si="2"/>
        <v>2.8257246142085326E-2</v>
      </c>
      <c r="W30" s="2">
        <f t="shared" si="3"/>
        <v>146292.62378855873</v>
      </c>
      <c r="X30" s="2">
        <f t="shared" si="43"/>
        <v>1183.0754300000003</v>
      </c>
      <c r="Y30" s="2">
        <f t="shared" si="4"/>
        <v>123.65451946589634</v>
      </c>
      <c r="Z30" s="2">
        <f t="shared" si="44"/>
        <v>5.2518740905497374</v>
      </c>
      <c r="AA30" s="2">
        <f t="shared" si="5"/>
        <v>1.2789832022617384</v>
      </c>
      <c r="AB30" s="2">
        <f t="shared" si="6"/>
        <v>1.0564033295858479</v>
      </c>
      <c r="AC30" s="2">
        <f t="shared" si="7"/>
        <v>1.3062904608211095E-2</v>
      </c>
      <c r="AD30" s="2">
        <f t="shared" si="8"/>
        <v>2298075.4380626297</v>
      </c>
      <c r="AI30">
        <f t="shared" si="9"/>
        <v>2.1954022554861419E-6</v>
      </c>
      <c r="AK30">
        <f t="shared" si="10"/>
        <v>1.1325475385337163E-5</v>
      </c>
      <c r="AL30">
        <f t="shared" si="11"/>
        <v>-3.9773430942525154</v>
      </c>
      <c r="AM30">
        <f t="shared" si="12"/>
        <v>15.071985629078085</v>
      </c>
      <c r="AN30">
        <f t="shared" si="13"/>
        <v>227.16475080313631</v>
      </c>
      <c r="AO30">
        <f t="shared" si="14"/>
        <v>4.4020914180766188E-3</v>
      </c>
      <c r="AQ30" s="3">
        <f t="shared" si="45"/>
        <v>151.20000000000016</v>
      </c>
      <c r="AR30" s="3">
        <f t="shared" si="15"/>
        <v>611.20000000000016</v>
      </c>
      <c r="AS30">
        <f t="shared" si="51"/>
        <v>576.52550120734395</v>
      </c>
      <c r="AV30" s="3">
        <f t="shared" si="16"/>
        <v>1.629866666666667</v>
      </c>
      <c r="AW30" s="3">
        <f t="shared" si="17"/>
        <v>0.85920342951914153</v>
      </c>
      <c r="AX30" s="4">
        <v>0.8</v>
      </c>
      <c r="AY30" s="5">
        <f t="shared" si="18"/>
        <v>0.17791710413697043</v>
      </c>
      <c r="AZ30" s="5">
        <f t="shared" si="19"/>
        <v>-8.105444627476005E-2</v>
      </c>
      <c r="BA30" s="5">
        <f t="shared" si="20"/>
        <v>5.2319663039313092E-3</v>
      </c>
      <c r="BB30" s="5">
        <f t="shared" si="21"/>
        <v>-7.1955142926208698E-6</v>
      </c>
      <c r="BC30" s="5">
        <f t="shared" si="22"/>
        <v>4.5869433846811563E-3</v>
      </c>
      <c r="BD30" s="5">
        <f t="shared" si="23"/>
        <v>0.97743558051963131</v>
      </c>
      <c r="BE30" s="6">
        <f t="shared" si="24"/>
        <v>0.92866815721348039</v>
      </c>
      <c r="BF30" s="7">
        <f t="shared" si="25"/>
        <v>0.12866815721348035</v>
      </c>
      <c r="BG30" s="5">
        <v>0.85</v>
      </c>
      <c r="BH30" s="5">
        <f t="shared" si="26"/>
        <v>0.16745139212891336</v>
      </c>
      <c r="BI30" s="5">
        <f t="shared" si="27"/>
        <v>-7.6286537670362406E-2</v>
      </c>
      <c r="BJ30" s="5">
        <f t="shared" si="28"/>
        <v>4.63454454604296E-3</v>
      </c>
      <c r="BK30" s="5">
        <f t="shared" si="29"/>
        <v>-5.3139461191508906E-6</v>
      </c>
      <c r="BL30" s="5">
        <f t="shared" si="30"/>
        <v>4.0528221058569042E-3</v>
      </c>
      <c r="BM30" s="5">
        <f t="shared" si="31"/>
        <v>0.97998617216637129</v>
      </c>
      <c r="BN30" s="8">
        <f t="shared" si="32"/>
        <v>0.93232503044378967</v>
      </c>
      <c r="BO30" s="9">
        <f t="shared" si="33"/>
        <v>8.2325030443789693E-2</v>
      </c>
      <c r="BP30" s="10">
        <f t="shared" si="34"/>
        <v>-0.92686253539381436</v>
      </c>
      <c r="BQ30" s="10">
        <f t="shared" si="35"/>
        <v>0.93882118685357219</v>
      </c>
    </row>
    <row r="31" spans="2:69">
      <c r="B31">
        <f t="shared" si="36"/>
        <v>3000</v>
      </c>
      <c r="C31">
        <f t="shared" si="46"/>
        <v>152.00000000000017</v>
      </c>
      <c r="D31">
        <f t="shared" si="0"/>
        <v>612.00000000000023</v>
      </c>
      <c r="E31">
        <f t="shared" si="37"/>
        <v>611.60000000000014</v>
      </c>
      <c r="F31">
        <f t="shared" si="47"/>
        <v>582.30292208311914</v>
      </c>
      <c r="G31">
        <f t="shared" si="38"/>
        <v>579.41421164523149</v>
      </c>
      <c r="H31">
        <f t="shared" si="1"/>
        <v>0.93852639431296281</v>
      </c>
      <c r="I31">
        <f t="shared" si="39"/>
        <v>0.9386737905832675</v>
      </c>
      <c r="K31">
        <f t="shared" si="40"/>
        <v>-7.5915131654355102E-3</v>
      </c>
      <c r="L31">
        <f t="shared" si="41"/>
        <v>4.4020914180766188E-3</v>
      </c>
      <c r="M31">
        <f t="shared" si="48"/>
        <v>203503203.6770094</v>
      </c>
      <c r="N31">
        <f t="shared" si="49"/>
        <v>345824.4277137256</v>
      </c>
      <c r="O31">
        <f t="shared" si="50"/>
        <v>588.0683869361842</v>
      </c>
      <c r="Q31" s="2">
        <f t="shared" si="42"/>
        <v>1.7791525455987225</v>
      </c>
      <c r="R31" s="2">
        <f t="shared" si="2"/>
        <v>2.8512060025620553E-2</v>
      </c>
      <c r="W31" s="2">
        <f t="shared" si="3"/>
        <v>146579.94149269527</v>
      </c>
      <c r="X31" s="2">
        <f t="shared" si="43"/>
        <v>1183.8754300000003</v>
      </c>
      <c r="Y31" s="2">
        <f t="shared" si="4"/>
        <v>123.81365283735573</v>
      </c>
      <c r="Z31" s="2">
        <f t="shared" si="44"/>
        <v>5.2497644508823518</v>
      </c>
      <c r="AA31" s="2">
        <f t="shared" si="5"/>
        <v>1.279452386123765</v>
      </c>
      <c r="AB31" s="2">
        <f t="shared" si="6"/>
        <v>1.0569515466806676</v>
      </c>
      <c r="AC31" s="2">
        <f t="shared" si="7"/>
        <v>1.3086503186662638E-2</v>
      </c>
      <c r="AD31" s="2">
        <f t="shared" si="8"/>
        <v>2293931.3735452304</v>
      </c>
      <c r="AI31">
        <f t="shared" si="9"/>
        <v>2.1993683238233639E-6</v>
      </c>
      <c r="AK31">
        <f t="shared" si="10"/>
        <v>1.1343848689929897E-5</v>
      </c>
      <c r="AL31">
        <f t="shared" si="11"/>
        <v>-3.9772673627080208</v>
      </c>
      <c r="AM31">
        <f t="shared" si="12"/>
        <v>15.071826714400849</v>
      </c>
      <c r="AN31">
        <f t="shared" si="13"/>
        <v>227.1599605089271</v>
      </c>
      <c r="AO31">
        <f t="shared" si="14"/>
        <v>4.402184248313872E-3</v>
      </c>
      <c r="AQ31" s="3">
        <f t="shared" si="45"/>
        <v>152.00000000000017</v>
      </c>
      <c r="AR31" s="3">
        <f t="shared" si="15"/>
        <v>612.00000000000023</v>
      </c>
      <c r="AS31">
        <f t="shared" si="51"/>
        <v>582.30292208311914</v>
      </c>
      <c r="AV31" s="3">
        <f t="shared" si="16"/>
        <v>1.6320000000000006</v>
      </c>
      <c r="AW31" s="3">
        <f t="shared" si="17"/>
        <v>0.86781359475874686</v>
      </c>
      <c r="AX31" s="4">
        <v>0.8</v>
      </c>
      <c r="AY31" s="5">
        <f t="shared" si="18"/>
        <v>0.17946512759257166</v>
      </c>
      <c r="AZ31" s="5">
        <f t="shared" si="19"/>
        <v>-8.1515832583524989E-2</v>
      </c>
      <c r="BA31" s="5">
        <f t="shared" si="20"/>
        <v>5.3365803500376174E-3</v>
      </c>
      <c r="BB31" s="5">
        <f t="shared" si="21"/>
        <v>-7.5060025645011303E-6</v>
      </c>
      <c r="BC31" s="5">
        <f t="shared" si="22"/>
        <v>4.6506453914173145E-3</v>
      </c>
      <c r="BD31" s="5">
        <f t="shared" si="23"/>
        <v>0.97704577562447104</v>
      </c>
      <c r="BE31" s="6">
        <f t="shared" si="24"/>
        <v>0.92837214720268879</v>
      </c>
      <c r="BF31" s="7">
        <f t="shared" si="25"/>
        <v>0.12837214720268875</v>
      </c>
      <c r="BG31" s="5">
        <v>0.85</v>
      </c>
      <c r="BH31" s="5">
        <f t="shared" si="26"/>
        <v>0.16890835538124394</v>
      </c>
      <c r="BI31" s="5">
        <f t="shared" si="27"/>
        <v>-7.6720783608023521E-2</v>
      </c>
      <c r="BJ31" s="5">
        <f t="shared" si="28"/>
        <v>4.7272130436319384E-3</v>
      </c>
      <c r="BK31" s="5">
        <f t="shared" si="29"/>
        <v>-5.543244245775695E-6</v>
      </c>
      <c r="BL31" s="5">
        <f t="shared" si="30"/>
        <v>4.1089271203758899E-3</v>
      </c>
      <c r="BM31" s="5">
        <f t="shared" si="31"/>
        <v>0.97963996894494498</v>
      </c>
      <c r="BN31" s="8">
        <f t="shared" si="32"/>
        <v>0.93203724191645621</v>
      </c>
      <c r="BO31" s="9">
        <f t="shared" si="33"/>
        <v>8.2037241916456227E-2</v>
      </c>
      <c r="BP31" s="10">
        <f t="shared" si="34"/>
        <v>-0.92669810572465161</v>
      </c>
      <c r="BQ31" s="10">
        <f t="shared" si="35"/>
        <v>0.93852639431296281</v>
      </c>
    </row>
    <row r="32" spans="2:69">
      <c r="B32">
        <f t="shared" si="36"/>
        <v>3200</v>
      </c>
      <c r="C32">
        <f t="shared" si="46"/>
        <v>152.80000000000018</v>
      </c>
      <c r="D32">
        <f t="shared" si="0"/>
        <v>612.80000000000018</v>
      </c>
      <c r="E32">
        <f t="shared" si="37"/>
        <v>612.4000000000002</v>
      </c>
      <c r="F32">
        <f t="shared" si="47"/>
        <v>588.0683869361842</v>
      </c>
      <c r="G32">
        <f t="shared" si="38"/>
        <v>585.18565450965161</v>
      </c>
      <c r="H32">
        <f t="shared" si="1"/>
        <v>0.93823804128648514</v>
      </c>
      <c r="I32">
        <f t="shared" si="39"/>
        <v>0.93838221779972397</v>
      </c>
      <c r="K32">
        <f t="shared" si="40"/>
        <v>-7.5839518432763969E-3</v>
      </c>
      <c r="L32">
        <f t="shared" si="41"/>
        <v>4.402184248313872E-3</v>
      </c>
      <c r="M32">
        <f t="shared" si="48"/>
        <v>203913497.90000117</v>
      </c>
      <c r="N32">
        <f t="shared" si="49"/>
        <v>352625.1715285104</v>
      </c>
      <c r="O32">
        <f t="shared" si="50"/>
        <v>593.82250843876773</v>
      </c>
      <c r="Q32" s="2">
        <f t="shared" si="42"/>
        <v>1.7949740282275677</v>
      </c>
      <c r="R32" s="2">
        <f t="shared" si="2"/>
        <v>2.8765609426723841E-2</v>
      </c>
      <c r="W32" s="2">
        <f t="shared" si="3"/>
        <v>146867.44704760396</v>
      </c>
      <c r="X32" s="2">
        <f t="shared" si="43"/>
        <v>1184.6754300000002</v>
      </c>
      <c r="Y32" s="2">
        <f t="shared" si="4"/>
        <v>123.97272985361394</v>
      </c>
      <c r="Z32" s="2">
        <f t="shared" si="44"/>
        <v>5.2476603194125317</v>
      </c>
      <c r="AA32" s="2">
        <f t="shared" si="5"/>
        <v>1.2799203449626531</v>
      </c>
      <c r="AB32" s="2">
        <f t="shared" si="6"/>
        <v>1.0574966727308528</v>
      </c>
      <c r="AC32" s="2">
        <f t="shared" si="7"/>
        <v>1.3110074932955761E-2</v>
      </c>
      <c r="AD32" s="2">
        <f t="shared" si="8"/>
        <v>2289806.9144076919</v>
      </c>
      <c r="AI32">
        <f t="shared" si="9"/>
        <v>2.2033298826442972E-6</v>
      </c>
      <c r="AK32">
        <f t="shared" si="10"/>
        <v>1.1362197733523842E-5</v>
      </c>
      <c r="AL32">
        <f t="shared" si="11"/>
        <v>-3.9771917443406144</v>
      </c>
      <c r="AM32">
        <f t="shared" si="12"/>
        <v>15.07166800042252</v>
      </c>
      <c r="AN32">
        <f t="shared" si="13"/>
        <v>227.15517631496016</v>
      </c>
      <c r="AO32">
        <f t="shared" si="14"/>
        <v>4.4022769642434127E-3</v>
      </c>
      <c r="AQ32" s="3">
        <f t="shared" si="45"/>
        <v>152.80000000000018</v>
      </c>
      <c r="AR32" s="3">
        <f t="shared" si="15"/>
        <v>612.80000000000018</v>
      </c>
      <c r="AS32">
        <f t="shared" si="51"/>
        <v>588.0683869361842</v>
      </c>
      <c r="AV32" s="3">
        <f t="shared" si="16"/>
        <v>1.6341333333333339</v>
      </c>
      <c r="AW32" s="3">
        <f t="shared" si="17"/>
        <v>0.87640594178268882</v>
      </c>
      <c r="AX32" s="4">
        <v>0.8</v>
      </c>
      <c r="AY32" s="5">
        <f t="shared" si="18"/>
        <v>0.181005429188759</v>
      </c>
      <c r="AZ32" s="5">
        <f t="shared" si="19"/>
        <v>-8.1970404319126028E-2</v>
      </c>
      <c r="BA32" s="5">
        <f t="shared" si="20"/>
        <v>5.441951460957925E-3</v>
      </c>
      <c r="BB32" s="5">
        <f t="shared" si="21"/>
        <v>-7.8253148174750933E-6</v>
      </c>
      <c r="BC32" s="5">
        <f t="shared" si="22"/>
        <v>4.7141582899755136E-3</v>
      </c>
      <c r="BD32" s="5">
        <f t="shared" si="23"/>
        <v>0.9766547197514226</v>
      </c>
      <c r="BE32" s="6">
        <f t="shared" si="24"/>
        <v>0.92808347740020924</v>
      </c>
      <c r="BF32" s="7">
        <f t="shared" si="25"/>
        <v>0.1280834774002092</v>
      </c>
      <c r="BG32" s="5">
        <v>0.85</v>
      </c>
      <c r="BH32" s="5">
        <f t="shared" si="26"/>
        <v>0.17035805100118498</v>
      </c>
      <c r="BI32" s="5">
        <f t="shared" si="27"/>
        <v>-7.714861582976569E-2</v>
      </c>
      <c r="BJ32" s="5">
        <f t="shared" si="28"/>
        <v>4.8205521591876445E-3</v>
      </c>
      <c r="BK32" s="5">
        <f t="shared" si="29"/>
        <v>-5.779058954562868E-6</v>
      </c>
      <c r="BL32" s="5">
        <f t="shared" si="30"/>
        <v>4.1648596365522197E-3</v>
      </c>
      <c r="BM32" s="5">
        <f t="shared" si="31"/>
        <v>0.97929263882580153</v>
      </c>
      <c r="BN32" s="8">
        <f t="shared" si="32"/>
        <v>0.93175633177219486</v>
      </c>
      <c r="BO32" s="9">
        <f t="shared" si="33"/>
        <v>8.1756331772194879E-2</v>
      </c>
      <c r="BP32" s="10">
        <f t="shared" si="34"/>
        <v>-0.92654291256028765</v>
      </c>
      <c r="BQ32" s="10">
        <f t="shared" si="35"/>
        <v>0.93823804128648514</v>
      </c>
    </row>
    <row r="33" spans="2:69">
      <c r="B33">
        <f t="shared" si="36"/>
        <v>3400</v>
      </c>
      <c r="C33">
        <f t="shared" si="46"/>
        <v>153.60000000000019</v>
      </c>
      <c r="D33">
        <f t="shared" si="0"/>
        <v>613.60000000000014</v>
      </c>
      <c r="E33">
        <f t="shared" si="37"/>
        <v>613.20000000000016</v>
      </c>
      <c r="F33">
        <f t="shared" si="47"/>
        <v>593.82250843876773</v>
      </c>
      <c r="G33">
        <f t="shared" si="38"/>
        <v>590.94544768747596</v>
      </c>
      <c r="H33">
        <f t="shared" si="1"/>
        <v>0.93795600936300882</v>
      </c>
      <c r="I33">
        <f t="shared" si="39"/>
        <v>0.93809702532474692</v>
      </c>
      <c r="K33">
        <f t="shared" si="40"/>
        <v>-7.5763601833997241E-3</v>
      </c>
      <c r="L33">
        <f t="shared" si="41"/>
        <v>4.4022769642434127E-3</v>
      </c>
      <c r="M33">
        <f t="shared" si="48"/>
        <v>204326656.50303349</v>
      </c>
      <c r="N33">
        <f t="shared" si="49"/>
        <v>359479.23903949105</v>
      </c>
      <c r="O33">
        <f t="shared" si="50"/>
        <v>599.56587547949312</v>
      </c>
      <c r="Q33" s="2">
        <f t="shared" si="42"/>
        <v>1.8107186049054267</v>
      </c>
      <c r="R33" s="2">
        <f t="shared" si="2"/>
        <v>2.9017926360663891E-2</v>
      </c>
      <c r="W33" s="2">
        <f t="shared" si="3"/>
        <v>147155.1403306259</v>
      </c>
      <c r="X33" s="2">
        <f t="shared" si="43"/>
        <v>1185.4754300000002</v>
      </c>
      <c r="Y33" s="2">
        <f t="shared" si="4"/>
        <v>124.13175052529421</v>
      </c>
      <c r="Z33" s="2">
        <f t="shared" si="44"/>
        <v>5.2455616745958267</v>
      </c>
      <c r="AA33" s="2">
        <f t="shared" si="5"/>
        <v>1.2803870835698883</v>
      </c>
      <c r="AB33" s="2">
        <f t="shared" si="6"/>
        <v>1.0580387790142936</v>
      </c>
      <c r="AC33" s="2">
        <f t="shared" si="7"/>
        <v>1.3133620576268918E-2</v>
      </c>
      <c r="AD33" s="2">
        <f t="shared" si="8"/>
        <v>2285701.8029078161</v>
      </c>
      <c r="AI33">
        <f t="shared" si="9"/>
        <v>2.207287054497492E-6</v>
      </c>
      <c r="AK33">
        <f t="shared" si="10"/>
        <v>1.1380523101743617E-5</v>
      </c>
      <c r="AL33">
        <f t="shared" si="11"/>
        <v>-3.9771162366806929</v>
      </c>
      <c r="AM33">
        <f t="shared" si="12"/>
        <v>15.071509482159472</v>
      </c>
      <c r="AN33">
        <f t="shared" si="13"/>
        <v>227.15039807082289</v>
      </c>
      <c r="AO33">
        <f t="shared" si="14"/>
        <v>4.4023695687656749E-3</v>
      </c>
      <c r="AQ33" s="3">
        <f t="shared" si="45"/>
        <v>153.60000000000019</v>
      </c>
      <c r="AR33" s="3">
        <f t="shared" si="15"/>
        <v>613.60000000000014</v>
      </c>
      <c r="AS33">
        <f t="shared" si="51"/>
        <v>593.82250843876773</v>
      </c>
      <c r="AV33" s="3">
        <f t="shared" si="16"/>
        <v>1.636266666666667</v>
      </c>
      <c r="AW33" s="3">
        <f t="shared" si="17"/>
        <v>0.88498138366433343</v>
      </c>
      <c r="AX33" s="4">
        <v>0.8</v>
      </c>
      <c r="AY33" s="5">
        <f t="shared" si="18"/>
        <v>0.18253822746091455</v>
      </c>
      <c r="AZ33" s="5">
        <f t="shared" si="19"/>
        <v>-8.2418309350516597E-2</v>
      </c>
      <c r="BA33" s="5">
        <f t="shared" si="20"/>
        <v>5.5480821765427311E-3</v>
      </c>
      <c r="BB33" s="5">
        <f t="shared" si="21"/>
        <v>-8.1535899382846529E-6</v>
      </c>
      <c r="BC33" s="5">
        <f t="shared" si="22"/>
        <v>4.7774841959400249E-3</v>
      </c>
      <c r="BD33" s="5">
        <f t="shared" si="23"/>
        <v>0.97626240860184543</v>
      </c>
      <c r="BE33" s="6">
        <f t="shared" si="24"/>
        <v>0.92780200464415008</v>
      </c>
      <c r="BF33" s="7">
        <f t="shared" si="25"/>
        <v>0.12780200464415004</v>
      </c>
      <c r="BG33" s="5">
        <v>0.85</v>
      </c>
      <c r="BH33" s="5">
        <f t="shared" si="26"/>
        <v>0.17180068466909607</v>
      </c>
      <c r="BI33" s="5">
        <f t="shared" si="27"/>
        <v>-7.7570173506368564E-2</v>
      </c>
      <c r="BJ33" s="5">
        <f t="shared" si="28"/>
        <v>4.9145641425430422E-3</v>
      </c>
      <c r="BK33" s="5">
        <f t="shared" si="29"/>
        <v>-6.0214928145065099E-6</v>
      </c>
      <c r="BL33" s="5">
        <f t="shared" si="30"/>
        <v>4.2206215231407251E-3</v>
      </c>
      <c r="BM33" s="5">
        <f t="shared" si="31"/>
        <v>0.97894417783123622</v>
      </c>
      <c r="BN33" s="8">
        <f t="shared" si="32"/>
        <v>0.93148216499589676</v>
      </c>
      <c r="BO33" s="9">
        <f t="shared" si="33"/>
        <v>8.1482164995896778E-2</v>
      </c>
      <c r="BP33" s="10">
        <f t="shared" si="34"/>
        <v>-0.92639679296506638</v>
      </c>
      <c r="BQ33" s="10">
        <f t="shared" si="35"/>
        <v>0.93795600936300882</v>
      </c>
    </row>
    <row r="34" spans="2:69">
      <c r="B34">
        <f t="shared" si="36"/>
        <v>3600</v>
      </c>
      <c r="C34">
        <f t="shared" si="46"/>
        <v>154.4000000000002</v>
      </c>
      <c r="D34">
        <f t="shared" si="0"/>
        <v>614.4000000000002</v>
      </c>
      <c r="E34">
        <f t="shared" si="37"/>
        <v>614.00000000000023</v>
      </c>
      <c r="F34">
        <f t="shared" si="47"/>
        <v>599.56587547949312</v>
      </c>
      <c r="G34">
        <f t="shared" si="38"/>
        <v>596.69419195913042</v>
      </c>
      <c r="H34">
        <f t="shared" si="1"/>
        <v>0.93768018427639777</v>
      </c>
      <c r="I34">
        <f t="shared" si="39"/>
        <v>0.9378180968197033</v>
      </c>
      <c r="K34">
        <f t="shared" si="40"/>
        <v>-7.5687391507578078E-3</v>
      </c>
      <c r="L34">
        <f t="shared" si="41"/>
        <v>4.4023695687656749E-3</v>
      </c>
      <c r="M34">
        <f t="shared" si="48"/>
        <v>204742647.21266642</v>
      </c>
      <c r="N34">
        <f t="shared" si="49"/>
        <v>366386.94527418684</v>
      </c>
      <c r="O34">
        <f t="shared" si="50"/>
        <v>605.2990544137557</v>
      </c>
      <c r="Q34" s="2">
        <f t="shared" si="42"/>
        <v>1.8263881950823389</v>
      </c>
      <c r="R34" s="2">
        <f t="shared" si="2"/>
        <v>2.9269041587857994E-2</v>
      </c>
      <c r="W34" s="2">
        <f t="shared" si="3"/>
        <v>147443.02121934353</v>
      </c>
      <c r="X34" s="2">
        <f t="shared" si="43"/>
        <v>1186.2754300000001</v>
      </c>
      <c r="Y34" s="2">
        <f t="shared" si="4"/>
        <v>124.29071486319455</v>
      </c>
      <c r="Z34" s="2">
        <f t="shared" si="44"/>
        <v>5.2434684949999992</v>
      </c>
      <c r="AA34" s="2">
        <f t="shared" si="5"/>
        <v>1.2808526067120003</v>
      </c>
      <c r="AB34" s="2">
        <f t="shared" si="6"/>
        <v>1.0585779343034998</v>
      </c>
      <c r="AC34" s="2">
        <f t="shared" si="7"/>
        <v>1.3157140819298578E-2</v>
      </c>
      <c r="AD34" s="2">
        <f t="shared" si="8"/>
        <v>2281615.7888842472</v>
      </c>
      <c r="AI34">
        <f t="shared" si="9"/>
        <v>2.2112399574808332E-6</v>
      </c>
      <c r="AK34">
        <f t="shared" si="10"/>
        <v>1.1398825359111426E-5</v>
      </c>
      <c r="AL34">
        <f t="shared" si="11"/>
        <v>-3.9770408373473645</v>
      </c>
      <c r="AM34">
        <f t="shared" si="12"/>
        <v>15.071351154808932</v>
      </c>
      <c r="AN34">
        <f t="shared" si="13"/>
        <v>227.14562563156053</v>
      </c>
      <c r="AO34">
        <f t="shared" si="14"/>
        <v>4.4024620646758161E-3</v>
      </c>
      <c r="AQ34" s="3">
        <f t="shared" si="45"/>
        <v>154.4000000000002</v>
      </c>
      <c r="AR34" s="3">
        <f t="shared" si="15"/>
        <v>614.4000000000002</v>
      </c>
      <c r="AS34">
        <f t="shared" si="51"/>
        <v>599.56587547949312</v>
      </c>
      <c r="AV34" s="3">
        <f t="shared" si="16"/>
        <v>1.6384000000000005</v>
      </c>
      <c r="AW34" s="3">
        <f t="shared" si="17"/>
        <v>0.89354079803203146</v>
      </c>
      <c r="AX34" s="4">
        <v>0.8</v>
      </c>
      <c r="AY34" s="5">
        <f t="shared" si="18"/>
        <v>0.18406373250476718</v>
      </c>
      <c r="AZ34" s="5">
        <f t="shared" si="19"/>
        <v>-8.285969021721383E-2</v>
      </c>
      <c r="BA34" s="5">
        <f t="shared" si="20"/>
        <v>5.6549750315327716E-3</v>
      </c>
      <c r="BB34" s="5">
        <f t="shared" si="21"/>
        <v>-8.4909679459294024E-6</v>
      </c>
      <c r="BC34" s="5">
        <f t="shared" si="22"/>
        <v>4.8406251941380948E-3</v>
      </c>
      <c r="BD34" s="5">
        <f t="shared" si="23"/>
        <v>0.97586883794954982</v>
      </c>
      <c r="BE34" s="6">
        <f t="shared" si="24"/>
        <v>0.92752759106541782</v>
      </c>
      <c r="BF34" s="7">
        <f t="shared" si="25"/>
        <v>0.12752759106541778</v>
      </c>
      <c r="BG34" s="5">
        <v>0.85</v>
      </c>
      <c r="BH34" s="5">
        <f t="shared" si="26"/>
        <v>0.17323645412213382</v>
      </c>
      <c r="BI34" s="5">
        <f t="shared" si="27"/>
        <v>-7.7985590792671838E-2</v>
      </c>
      <c r="BJ34" s="5">
        <f t="shared" si="28"/>
        <v>5.0092512390048083E-3</v>
      </c>
      <c r="BK34" s="5">
        <f t="shared" si="29"/>
        <v>-6.270649230782305E-6</v>
      </c>
      <c r="BL34" s="5">
        <f t="shared" si="30"/>
        <v>4.2762146214846549E-3</v>
      </c>
      <c r="BM34" s="5">
        <f t="shared" si="31"/>
        <v>0.97859458204656813</v>
      </c>
      <c r="BN34" s="8">
        <f t="shared" si="32"/>
        <v>0.93121461155581686</v>
      </c>
      <c r="BO34" s="9">
        <f t="shared" si="33"/>
        <v>8.1214611555816885E-2</v>
      </c>
      <c r="BP34" s="10">
        <f t="shared" si="34"/>
        <v>-0.92625959019201909</v>
      </c>
      <c r="BQ34" s="10">
        <f t="shared" si="35"/>
        <v>0.93768018427639777</v>
      </c>
    </row>
    <row r="35" spans="2:69">
      <c r="B35">
        <f t="shared" si="36"/>
        <v>3800</v>
      </c>
      <c r="C35">
        <f t="shared" si="46"/>
        <v>155.20000000000022</v>
      </c>
      <c r="D35">
        <f t="shared" si="0"/>
        <v>615.20000000000027</v>
      </c>
      <c r="E35">
        <f t="shared" si="37"/>
        <v>614.80000000000018</v>
      </c>
      <c r="F35">
        <f t="shared" si="47"/>
        <v>605.2990544137557</v>
      </c>
      <c r="G35">
        <f t="shared" si="38"/>
        <v>602.43246494662435</v>
      </c>
      <c r="H35">
        <f t="shared" si="1"/>
        <v>0.93741045569893378</v>
      </c>
      <c r="I35">
        <f t="shared" si="39"/>
        <v>0.93754531998766577</v>
      </c>
      <c r="K35">
        <f t="shared" si="40"/>
        <v>-7.5610896767981219E-3</v>
      </c>
      <c r="L35">
        <f t="shared" si="41"/>
        <v>4.4024620646758161E-3</v>
      </c>
      <c r="M35">
        <f t="shared" si="48"/>
        <v>205161439.1347971</v>
      </c>
      <c r="N35">
        <f t="shared" si="49"/>
        <v>373348.60577306361</v>
      </c>
      <c r="O35">
        <f t="shared" si="50"/>
        <v>611.0225902313789</v>
      </c>
      <c r="Q35" s="2">
        <f t="shared" si="42"/>
        <v>1.8419846439743937</v>
      </c>
      <c r="R35" s="2">
        <f t="shared" si="2"/>
        <v>2.9518984679076821E-2</v>
      </c>
      <c r="W35" s="2">
        <f t="shared" si="3"/>
        <v>147731.08959157742</v>
      </c>
      <c r="X35" s="2">
        <f t="shared" si="43"/>
        <v>1187.0754300000003</v>
      </c>
      <c r="Y35" s="2">
        <f t="shared" si="4"/>
        <v>124.44962287828447</v>
      </c>
      <c r="Z35" s="2">
        <f t="shared" si="44"/>
        <v>5.24138075930429</v>
      </c>
      <c r="AA35" s="2">
        <f t="shared" si="5"/>
        <v>1.2813169191307261</v>
      </c>
      <c r="AB35" s="2">
        <f t="shared" si="6"/>
        <v>1.0591142049868882</v>
      </c>
      <c r="AC35" s="2">
        <f t="shared" si="7"/>
        <v>1.3180636339565231E-2</v>
      </c>
      <c r="AD35" s="2">
        <f t="shared" si="8"/>
        <v>2277548.6294067092</v>
      </c>
      <c r="AI35">
        <f t="shared" si="9"/>
        <v>2.2151887054610341E-6</v>
      </c>
      <c r="AK35">
        <f t="shared" si="10"/>
        <v>1.1417105050085424E-5</v>
      </c>
      <c r="AL35">
        <f t="shared" si="11"/>
        <v>-3.9769655440440874</v>
      </c>
      <c r="AM35">
        <f t="shared" si="12"/>
        <v>15.071193013740059</v>
      </c>
      <c r="AN35">
        <f t="shared" si="13"/>
        <v>227.14085885740715</v>
      </c>
      <c r="AO35">
        <f t="shared" si="14"/>
        <v>4.4025544546689097E-3</v>
      </c>
      <c r="AQ35" s="3">
        <f t="shared" si="45"/>
        <v>155.20000000000022</v>
      </c>
      <c r="AR35" s="3">
        <f t="shared" si="15"/>
        <v>615.20000000000027</v>
      </c>
      <c r="AS35">
        <f t="shared" si="51"/>
        <v>605.2990544137557</v>
      </c>
      <c r="AV35" s="3">
        <f t="shared" si="16"/>
        <v>1.6405333333333341</v>
      </c>
      <c r="AW35" s="3">
        <f t="shared" si="17"/>
        <v>0.90208502893257181</v>
      </c>
      <c r="AX35" s="4">
        <v>0.8</v>
      </c>
      <c r="AY35" s="5">
        <f t="shared" si="18"/>
        <v>0.18558214641462706</v>
      </c>
      <c r="AZ35" s="5">
        <f t="shared" si="19"/>
        <v>-8.3294684396259533E-2</v>
      </c>
      <c r="BA35" s="5">
        <f t="shared" si="20"/>
        <v>5.7626325557147929E-3</v>
      </c>
      <c r="BB35" s="5">
        <f t="shared" si="21"/>
        <v>-8.8375900034017157E-6</v>
      </c>
      <c r="BC35" s="5">
        <f t="shared" si="22"/>
        <v>4.9035833393564288E-3</v>
      </c>
      <c r="BD35" s="5">
        <f t="shared" si="23"/>
        <v>0.97547400363920456</v>
      </c>
      <c r="BE35" s="6">
        <f t="shared" si="24"/>
        <v>0.92726010382167912</v>
      </c>
      <c r="BF35" s="7">
        <f t="shared" si="25"/>
        <v>0.12726010382167907</v>
      </c>
      <c r="BG35" s="5">
        <v>0.85</v>
      </c>
      <c r="BH35" s="5">
        <f t="shared" si="26"/>
        <v>0.17466554956670785</v>
      </c>
      <c r="BI35" s="5">
        <f t="shared" si="27"/>
        <v>-7.8394997078832518E-2</v>
      </c>
      <c r="BJ35" s="5">
        <f t="shared" si="28"/>
        <v>5.1046156894913068E-3</v>
      </c>
      <c r="BK35" s="5">
        <f t="shared" si="29"/>
        <v>-6.5266324534139469E-6</v>
      </c>
      <c r="BL35" s="5">
        <f t="shared" si="30"/>
        <v>4.3316407461545152E-3</v>
      </c>
      <c r="BM35" s="5">
        <f t="shared" si="31"/>
        <v>0.97824384761873318</v>
      </c>
      <c r="BN35" s="8">
        <f t="shared" si="32"/>
        <v>0.93095354615313242</v>
      </c>
      <c r="BO35" s="9">
        <f t="shared" si="33"/>
        <v>8.0953546153132439E-2</v>
      </c>
      <c r="BP35" s="10">
        <f t="shared" si="34"/>
        <v>-0.92613115337093388</v>
      </c>
      <c r="BQ35" s="10">
        <f t="shared" si="35"/>
        <v>0.93741045569893378</v>
      </c>
    </row>
    <row r="36" spans="2:69">
      <c r="B36">
        <f t="shared" si="36"/>
        <v>4000</v>
      </c>
      <c r="C36">
        <f t="shared" si="46"/>
        <v>156.00000000000023</v>
      </c>
      <c r="D36">
        <f t="shared" si="0"/>
        <v>616.00000000000023</v>
      </c>
      <c r="E36">
        <f t="shared" si="37"/>
        <v>615.60000000000025</v>
      </c>
      <c r="F36">
        <f t="shared" si="47"/>
        <v>611.0225902313789</v>
      </c>
      <c r="G36">
        <f t="shared" si="38"/>
        <v>608.16082232256736</v>
      </c>
      <c r="H36">
        <f t="shared" si="1"/>
        <v>0.93714671704793584</v>
      </c>
      <c r="I36">
        <f t="shared" si="39"/>
        <v>0.93727858637343475</v>
      </c>
      <c r="K36">
        <f t="shared" si="40"/>
        <v>-7.553412661089551E-3</v>
      </c>
      <c r="L36">
        <f t="shared" si="41"/>
        <v>4.4025544546689097E-3</v>
      </c>
      <c r="M36">
        <f t="shared" si="48"/>
        <v>205583002.68413186</v>
      </c>
      <c r="N36">
        <f t="shared" si="49"/>
        <v>380364.53660274565</v>
      </c>
      <c r="O36">
        <f t="shared" si="50"/>
        <v>616.73700764811065</v>
      </c>
      <c r="Q36" s="2">
        <f t="shared" si="42"/>
        <v>1.8575097263656402</v>
      </c>
      <c r="R36" s="2">
        <f t="shared" si="2"/>
        <v>2.9767784076372438E-2</v>
      </c>
      <c r="W36" s="2">
        <f t="shared" si="3"/>
        <v>148019.34532538737</v>
      </c>
      <c r="X36" s="2">
        <f t="shared" si="43"/>
        <v>1187.8754300000003</v>
      </c>
      <c r="Y36" s="2">
        <f t="shared" si="4"/>
        <v>124.60847458170537</v>
      </c>
      <c r="Z36" s="2">
        <f t="shared" si="44"/>
        <v>5.2392984462987009</v>
      </c>
      <c r="AA36" s="2">
        <f t="shared" si="5"/>
        <v>1.2817800255431691</v>
      </c>
      <c r="AB36" s="2">
        <f t="shared" si="6"/>
        <v>1.0596476551824709</v>
      </c>
      <c r="AC36" s="2">
        <f t="shared" si="7"/>
        <v>1.3204107790636863E-2</v>
      </c>
      <c r="AD36" s="2">
        <f t="shared" si="8"/>
        <v>2273500.0884476383</v>
      </c>
      <c r="AI36">
        <f t="shared" si="9"/>
        <v>2.2191334082792571E-6</v>
      </c>
      <c r="AK36">
        <f t="shared" si="10"/>
        <v>1.1435362700032583E-5</v>
      </c>
      <c r="AL36">
        <f t="shared" si="11"/>
        <v>-3.9768903545545893</v>
      </c>
      <c r="AM36">
        <f t="shared" si="12"/>
        <v>15.071035054485604</v>
      </c>
      <c r="AN36">
        <f t="shared" si="13"/>
        <v>227.13609761353388</v>
      </c>
      <c r="AO36">
        <f t="shared" si="14"/>
        <v>4.4026467413448029E-3</v>
      </c>
      <c r="AQ36" s="3">
        <f t="shared" si="45"/>
        <v>156.00000000000023</v>
      </c>
      <c r="AR36" s="3">
        <f t="shared" si="15"/>
        <v>616.00000000000023</v>
      </c>
      <c r="AS36">
        <f t="shared" si="51"/>
        <v>611.0225902313789</v>
      </c>
      <c r="AV36" s="3">
        <f t="shared" si="16"/>
        <v>1.6426666666666672</v>
      </c>
      <c r="AW36" s="3">
        <f t="shared" si="17"/>
        <v>0.91061488857135453</v>
      </c>
      <c r="AX36" s="4">
        <v>0.8</v>
      </c>
      <c r="AY36" s="5">
        <f t="shared" si="18"/>
        <v>0.18709366369287664</v>
      </c>
      <c r="AZ36" s="5">
        <f t="shared" si="19"/>
        <v>-8.3723424552052547E-2</v>
      </c>
      <c r="BA36" s="5">
        <f t="shared" si="20"/>
        <v>5.8710572740652495E-3</v>
      </c>
      <c r="BB36" s="5">
        <f t="shared" si="21"/>
        <v>-9.1935984292066791E-6</v>
      </c>
      <c r="BC36" s="5">
        <f t="shared" si="22"/>
        <v>4.9663606570299447E-3</v>
      </c>
      <c r="BD36" s="5">
        <f t="shared" si="23"/>
        <v>0.9750779015848251</v>
      </c>
      <c r="BE36" s="6">
        <f t="shared" si="24"/>
        <v>0.92699941484841208</v>
      </c>
      <c r="BF36" s="7">
        <f t="shared" si="25"/>
        <v>0.12699941484841204</v>
      </c>
      <c r="BG36" s="5">
        <v>0.85</v>
      </c>
      <c r="BH36" s="5">
        <f t="shared" si="26"/>
        <v>0.17608815406388392</v>
      </c>
      <c r="BI36" s="5">
        <f t="shared" si="27"/>
        <v>-7.8798517225461231E-2</v>
      </c>
      <c r="BJ36" s="5">
        <f t="shared" si="28"/>
        <v>5.2006597306598762E-3</v>
      </c>
      <c r="BK36" s="5">
        <f t="shared" si="29"/>
        <v>-6.7895475857807019E-6</v>
      </c>
      <c r="BL36" s="5">
        <f t="shared" si="30"/>
        <v>4.3869016855622505E-3</v>
      </c>
      <c r="BM36" s="5">
        <f t="shared" si="31"/>
        <v>0.9778919707549476</v>
      </c>
      <c r="BN36" s="8">
        <f t="shared" si="32"/>
        <v>0.93069884798758706</v>
      </c>
      <c r="BO36" s="9">
        <f t="shared" si="33"/>
        <v>8.0698847987587086E-2</v>
      </c>
      <c r="BP36" s="10">
        <f t="shared" si="34"/>
        <v>-0.92601133721650031</v>
      </c>
      <c r="BQ36" s="10">
        <f t="shared" si="35"/>
        <v>0.93714671704793584</v>
      </c>
    </row>
    <row r="37" spans="2:69">
      <c r="B37">
        <f t="shared" si="36"/>
        <v>4200</v>
      </c>
      <c r="C37">
        <f t="shared" si="46"/>
        <v>156.80000000000024</v>
      </c>
      <c r="D37">
        <f t="shared" si="0"/>
        <v>616.80000000000018</v>
      </c>
      <c r="E37">
        <f t="shared" si="37"/>
        <v>616.4000000000002</v>
      </c>
      <c r="F37">
        <f t="shared" si="47"/>
        <v>616.73700764811065</v>
      </c>
      <c r="G37">
        <f t="shared" si="38"/>
        <v>613.87979893974477</v>
      </c>
      <c r="H37">
        <f t="shared" si="1"/>
        <v>0.93688886530455373</v>
      </c>
      <c r="I37">
        <f t="shared" si="39"/>
        <v>0.93701779117624473</v>
      </c>
      <c r="K37">
        <f t="shared" si="40"/>
        <v>-7.545708972846699E-3</v>
      </c>
      <c r="L37">
        <f t="shared" si="41"/>
        <v>4.4026467413448029E-3</v>
      </c>
      <c r="M37">
        <f t="shared" si="48"/>
        <v>206007309.51822403</v>
      </c>
      <c r="N37">
        <f t="shared" si="49"/>
        <v>387435.054368463</v>
      </c>
      <c r="O37">
        <f t="shared" si="50"/>
        <v>622.44281212691578</v>
      </c>
      <c r="Q37" s="2">
        <f t="shared" si="42"/>
        <v>1.8729651501641904</v>
      </c>
      <c r="R37" s="2">
        <f t="shared" si="2"/>
        <v>3.0015467150067154E-2</v>
      </c>
      <c r="W37" s="2">
        <f t="shared" si="3"/>
        <v>148307.78829907041</v>
      </c>
      <c r="X37" s="2">
        <f t="shared" si="43"/>
        <v>1188.6754300000002</v>
      </c>
      <c r="Y37" s="2">
        <f t="shared" si="4"/>
        <v>124.76726998476815</v>
      </c>
      <c r="Z37" s="2">
        <f t="shared" si="44"/>
        <v>5.2372215348832674</v>
      </c>
      <c r="AA37" s="2">
        <f t="shared" si="5"/>
        <v>1.2822419306419615</v>
      </c>
      <c r="AB37" s="2">
        <f t="shared" si="6"/>
        <v>1.0601783468445238</v>
      </c>
      <c r="AC37" s="2">
        <f t="shared" si="7"/>
        <v>1.3227555803275589E-2</v>
      </c>
      <c r="AD37" s="2">
        <f t="shared" si="8"/>
        <v>2269469.9365737098</v>
      </c>
      <c r="AI37">
        <f t="shared" si="9"/>
        <v>2.2230741719438229E-6</v>
      </c>
      <c r="AK37">
        <f t="shared" si="10"/>
        <v>1.1453598816140788E-5</v>
      </c>
      <c r="AL37">
        <f t="shared" si="11"/>
        <v>-3.9768152667390346</v>
      </c>
      <c r="AM37">
        <f t="shared" si="12"/>
        <v>15.070877272734085</v>
      </c>
      <c r="AN37">
        <f t="shared" si="13"/>
        <v>227.13134176981279</v>
      </c>
      <c r="AO37">
        <f t="shared" si="14"/>
        <v>4.4027389272126701E-3</v>
      </c>
      <c r="AQ37" s="3">
        <f t="shared" si="45"/>
        <v>156.80000000000024</v>
      </c>
      <c r="AR37" s="3">
        <f t="shared" si="15"/>
        <v>616.80000000000018</v>
      </c>
      <c r="AS37">
        <f t="shared" si="51"/>
        <v>616.73700764811065</v>
      </c>
      <c r="AV37" s="3">
        <f t="shared" si="16"/>
        <v>1.6448000000000005</v>
      </c>
      <c r="AW37" s="3">
        <f t="shared" si="17"/>
        <v>0.91913115893906205</v>
      </c>
      <c r="AX37" s="4">
        <v>0.8</v>
      </c>
      <c r="AY37" s="5">
        <f t="shared" si="18"/>
        <v>0.18859847163298477</v>
      </c>
      <c r="AZ37" s="5">
        <f t="shared" si="19"/>
        <v>-8.4146038770385873E-2</v>
      </c>
      <c r="BA37" s="5">
        <f t="shared" si="20"/>
        <v>5.9802517068826755E-3</v>
      </c>
      <c r="BB37" s="5">
        <f t="shared" si="21"/>
        <v>-9.5591367086778028E-6</v>
      </c>
      <c r="BC37" s="5">
        <f t="shared" si="22"/>
        <v>5.028959143904361E-3</v>
      </c>
      <c r="BD37" s="5">
        <f t="shared" si="23"/>
        <v>0.97468052776833802</v>
      </c>
      <c r="BE37" s="6">
        <f t="shared" si="24"/>
        <v>0.92674540062571154</v>
      </c>
      <c r="BF37" s="7">
        <f t="shared" si="25"/>
        <v>0.12674540062571149</v>
      </c>
      <c r="BG37" s="5">
        <v>0.85</v>
      </c>
      <c r="BH37" s="5">
        <f t="shared" si="26"/>
        <v>0.17750444388986805</v>
      </c>
      <c r="BI37" s="5">
        <f t="shared" si="27"/>
        <v>-7.9196271783892602E-2</v>
      </c>
      <c r="BJ37" s="5">
        <f t="shared" si="28"/>
        <v>5.297385595024102E-3</v>
      </c>
      <c r="BK37" s="5">
        <f t="shared" si="29"/>
        <v>-7.0595005929741831E-6</v>
      </c>
      <c r="BL37" s="5">
        <f t="shared" si="30"/>
        <v>4.4419992025521611E-3</v>
      </c>
      <c r="BM37" s="5">
        <f t="shared" si="31"/>
        <v>0.97753894772143946</v>
      </c>
      <c r="BN37" s="8">
        <f t="shared" si="32"/>
        <v>0.9304504005379669</v>
      </c>
      <c r="BO37" s="9">
        <f t="shared" si="33"/>
        <v>8.0450400537966926E-2</v>
      </c>
      <c r="BP37" s="10">
        <f t="shared" si="34"/>
        <v>-0.92590000175489251</v>
      </c>
      <c r="BQ37" s="10">
        <f t="shared" si="35"/>
        <v>0.93688886530455373</v>
      </c>
    </row>
    <row r="38" spans="2:69">
      <c r="B38">
        <f t="shared" si="36"/>
        <v>4400</v>
      </c>
      <c r="C38">
        <f t="shared" si="46"/>
        <v>157.60000000000025</v>
      </c>
      <c r="D38">
        <f t="shared" si="0"/>
        <v>617.60000000000025</v>
      </c>
      <c r="E38">
        <f t="shared" si="37"/>
        <v>617.20000000000027</v>
      </c>
      <c r="F38">
        <f t="shared" si="47"/>
        <v>622.44281212691578</v>
      </c>
      <c r="G38">
        <f t="shared" si="38"/>
        <v>619.58990988751316</v>
      </c>
      <c r="H38">
        <f t="shared" si="1"/>
        <v>0.93663680084379153</v>
      </c>
      <c r="I38">
        <f t="shared" si="39"/>
        <v>0.93676283307417263</v>
      </c>
      <c r="K38">
        <f t="shared" si="40"/>
        <v>-7.5379794523600446E-3</v>
      </c>
      <c r="L38">
        <f t="shared" si="41"/>
        <v>4.4027389272126701E-3</v>
      </c>
      <c r="M38">
        <f t="shared" si="48"/>
        <v>206434332.47572231</v>
      </c>
      <c r="N38">
        <f t="shared" si="49"/>
        <v>394560.47622578236</v>
      </c>
      <c r="O38">
        <f t="shared" si="50"/>
        <v>628.14049083448072</v>
      </c>
      <c r="Q38" s="2">
        <f t="shared" si="42"/>
        <v>1.8883525597316577</v>
      </c>
      <c r="R38" s="2">
        <f t="shared" si="2"/>
        <v>3.0262060252109899E-2</v>
      </c>
      <c r="W38" s="2">
        <f t="shared" si="3"/>
        <v>148596.41839116029</v>
      </c>
      <c r="X38" s="2">
        <f t="shared" si="43"/>
        <v>1189.4754300000004</v>
      </c>
      <c r="Y38" s="2">
        <f t="shared" si="4"/>
        <v>124.92600909895233</v>
      </c>
      <c r="Z38" s="2">
        <f t="shared" si="44"/>
        <v>5.2351500040673562</v>
      </c>
      <c r="AA38" s="2">
        <f t="shared" si="5"/>
        <v>1.2827026390954201</v>
      </c>
      <c r="AB38" s="2">
        <f t="shared" si="6"/>
        <v>1.0607063398637648</v>
      </c>
      <c r="AC38" s="2">
        <f t="shared" si="7"/>
        <v>1.3250980986513712E-2</v>
      </c>
      <c r="AD38" s="2">
        <f t="shared" si="8"/>
        <v>2265457.9506557044</v>
      </c>
      <c r="AI38">
        <f t="shared" si="9"/>
        <v>2.2270110988110546E-6</v>
      </c>
      <c r="AK38">
        <f t="shared" si="10"/>
        <v>1.1471813888274434E-5</v>
      </c>
      <c r="AL38">
        <f t="shared" si="11"/>
        <v>-3.9767402785304338</v>
      </c>
      <c r="AM38">
        <f t="shared" si="12"/>
        <v>15.070719664322443</v>
      </c>
      <c r="AN38">
        <f t="shared" si="13"/>
        <v>227.12659120059516</v>
      </c>
      <c r="AO38">
        <f t="shared" si="14"/>
        <v>4.4028310146952956E-3</v>
      </c>
      <c r="AQ38" s="3">
        <f t="shared" si="45"/>
        <v>157.60000000000025</v>
      </c>
      <c r="AR38" s="3">
        <f t="shared" si="15"/>
        <v>617.60000000000025</v>
      </c>
      <c r="AS38">
        <f t="shared" si="51"/>
        <v>622.44281212691578</v>
      </c>
      <c r="AV38" s="3">
        <f t="shared" si="16"/>
        <v>1.646933333333334</v>
      </c>
      <c r="AW38" s="3">
        <f t="shared" si="17"/>
        <v>0.92763459333370457</v>
      </c>
      <c r="AX38" s="4">
        <v>0.8</v>
      </c>
      <c r="AY38" s="5">
        <f t="shared" si="18"/>
        <v>0.19009675067810383</v>
      </c>
      <c r="AZ38" s="5">
        <f t="shared" si="19"/>
        <v>-8.4562650777900358E-2</v>
      </c>
      <c r="BA38" s="5">
        <f t="shared" si="20"/>
        <v>6.0902183699094847E-3</v>
      </c>
      <c r="BB38" s="5">
        <f t="shared" si="21"/>
        <v>-9.9343495050987262E-6</v>
      </c>
      <c r="BC38" s="5">
        <f t="shared" si="22"/>
        <v>5.091380768674136E-3</v>
      </c>
      <c r="BD38" s="5">
        <f t="shared" si="23"/>
        <v>0.97428187823821633</v>
      </c>
      <c r="BE38" s="6">
        <f t="shared" si="24"/>
        <v>0.92649794195964408</v>
      </c>
      <c r="BF38" s="7">
        <f t="shared" si="25"/>
        <v>0.12649794195964403</v>
      </c>
      <c r="BG38" s="5">
        <v>0.85</v>
      </c>
      <c r="BH38" s="5">
        <f t="shared" si="26"/>
        <v>0.17891458887350953</v>
      </c>
      <c r="BI38" s="5">
        <f t="shared" si="27"/>
        <v>-7.9588377202729765E-2</v>
      </c>
      <c r="BJ38" s="5">
        <f t="shared" si="28"/>
        <v>5.3947955110616912E-3</v>
      </c>
      <c r="BK38" s="5">
        <f t="shared" si="29"/>
        <v>-7.3365983100117934E-6</v>
      </c>
      <c r="BL38" s="5">
        <f t="shared" si="30"/>
        <v>4.4969350349698557E-3</v>
      </c>
      <c r="BM38" s="5">
        <f t="shared" si="31"/>
        <v>0.9771847748422432</v>
      </c>
      <c r="BN38" s="8">
        <f t="shared" si="32"/>
        <v>0.93020809135626914</v>
      </c>
      <c r="BO38" s="9">
        <f t="shared" si="33"/>
        <v>8.0208091356269162E-2</v>
      </c>
      <c r="BP38" s="10">
        <f t="shared" si="34"/>
        <v>-0.92579701206749865</v>
      </c>
      <c r="BQ38" s="10">
        <f t="shared" si="35"/>
        <v>0.93663680084379153</v>
      </c>
    </row>
    <row r="39" spans="2:69">
      <c r="B39">
        <f t="shared" si="36"/>
        <v>4600</v>
      </c>
      <c r="C39">
        <f t="shared" si="46"/>
        <v>158.40000000000026</v>
      </c>
      <c r="D39">
        <f t="shared" si="0"/>
        <v>618.40000000000032</v>
      </c>
      <c r="E39">
        <f t="shared" si="37"/>
        <v>618.00000000000023</v>
      </c>
      <c r="F39">
        <f t="shared" si="47"/>
        <v>628.14049083448072</v>
      </c>
      <c r="G39">
        <f t="shared" si="38"/>
        <v>625.29165148069819</v>
      </c>
      <c r="H39">
        <f t="shared" si="1"/>
        <v>0.93639042727493238</v>
      </c>
      <c r="I39">
        <f t="shared" si="39"/>
        <v>0.93651361405936195</v>
      </c>
      <c r="K39">
        <f t="shared" si="40"/>
        <v>-7.5302249123390596E-3</v>
      </c>
      <c r="L39">
        <f t="shared" si="41"/>
        <v>4.4028310146952956E-3</v>
      </c>
      <c r="M39">
        <f t="shared" si="48"/>
        <v>206864045.51850465</v>
      </c>
      <c r="N39">
        <f t="shared" si="49"/>
        <v>401741.11989166448</v>
      </c>
      <c r="O39">
        <f t="shared" si="50"/>
        <v>633.83051353785777</v>
      </c>
      <c r="Q39" s="2">
        <f t="shared" si="42"/>
        <v>1.9036735390032993</v>
      </c>
      <c r="R39" s="2">
        <f t="shared" si="2"/>
        <v>3.0507588766078515E-2</v>
      </c>
      <c r="W39" s="2">
        <f t="shared" si="3"/>
        <v>148885.23548042701</v>
      </c>
      <c r="X39" s="2">
        <f t="shared" si="43"/>
        <v>1190.2754300000004</v>
      </c>
      <c r="Y39" s="2">
        <f t="shared" si="4"/>
        <v>125.0846919359051</v>
      </c>
      <c r="Z39" s="2">
        <f t="shared" si="44"/>
        <v>5.2330838329689513</v>
      </c>
      <c r="AA39" s="2">
        <f t="shared" si="5"/>
        <v>1.2831621555477053</v>
      </c>
      <c r="AB39" s="2">
        <f t="shared" si="6"/>
        <v>1.0612316921615224</v>
      </c>
      <c r="AC39" s="2">
        <f t="shared" si="7"/>
        <v>1.3274383928664332E-2</v>
      </c>
      <c r="AD39" s="2">
        <f t="shared" si="8"/>
        <v>2261463.9135953952</v>
      </c>
      <c r="AI39">
        <f t="shared" si="9"/>
        <v>2.2309442877551268E-6</v>
      </c>
      <c r="AK39">
        <f t="shared" si="10"/>
        <v>1.149000838977851E-5</v>
      </c>
      <c r="AL39">
        <f t="shared" si="11"/>
        <v>-3.9766653879312659</v>
      </c>
      <c r="AM39">
        <f t="shared" si="12"/>
        <v>15.070562225229137</v>
      </c>
      <c r="AN39">
        <f t="shared" si="13"/>
        <v>227.12184578450342</v>
      </c>
      <c r="AO39">
        <f t="shared" si="14"/>
        <v>4.4029230061330814E-3</v>
      </c>
      <c r="AQ39" s="3">
        <f t="shared" si="45"/>
        <v>158.40000000000026</v>
      </c>
      <c r="AR39" s="3">
        <f t="shared" si="15"/>
        <v>618.40000000000032</v>
      </c>
      <c r="AS39">
        <f t="shared" si="51"/>
        <v>628.14049083448072</v>
      </c>
      <c r="AV39" s="3">
        <f t="shared" si="16"/>
        <v>1.6490666666666676</v>
      </c>
      <c r="AW39" s="3">
        <f t="shared" si="17"/>
        <v>0.93612591778611132</v>
      </c>
      <c r="AX39" s="4">
        <v>0.8</v>
      </c>
      <c r="AY39" s="5">
        <f t="shared" si="18"/>
        <v>0.19158867475712263</v>
      </c>
      <c r="AZ39" s="5">
        <f t="shared" si="19"/>
        <v>-8.4973380148056957E-2</v>
      </c>
      <c r="BA39" s="5">
        <f t="shared" si="20"/>
        <v>6.2009597744439766E-3</v>
      </c>
      <c r="BB39" s="5">
        <f t="shared" si="21"/>
        <v>-1.0319382670640388E-5</v>
      </c>
      <c r="BC39" s="5">
        <f t="shared" si="22"/>
        <v>5.1536274725970397E-3</v>
      </c>
      <c r="BD39" s="5">
        <f t="shared" si="23"/>
        <v>0.97388194910818249</v>
      </c>
      <c r="BE39" s="6">
        <f t="shared" si="24"/>
        <v>0.92625692377704794</v>
      </c>
      <c r="BF39" s="7">
        <f t="shared" si="25"/>
        <v>0.12625692377704789</v>
      </c>
      <c r="BG39" s="5">
        <v>0.85</v>
      </c>
      <c r="BH39" s="5">
        <f t="shared" si="26"/>
        <v>0.18031875271258604</v>
      </c>
      <c r="BI39" s="5">
        <f t="shared" si="27"/>
        <v>-7.9974946021700688E-2</v>
      </c>
      <c r="BJ39" s="5">
        <f t="shared" si="28"/>
        <v>5.4928917033136978E-3</v>
      </c>
      <c r="BK39" s="5">
        <f t="shared" si="29"/>
        <v>-7.620948449913919E-6</v>
      </c>
      <c r="BL39" s="5">
        <f t="shared" si="30"/>
        <v>4.5517108962104457E-3</v>
      </c>
      <c r="BM39" s="5">
        <f t="shared" si="31"/>
        <v>0.97682944849805298</v>
      </c>
      <c r="BN39" s="8">
        <f t="shared" si="32"/>
        <v>0.9299718118745306</v>
      </c>
      <c r="BO39" s="9">
        <f t="shared" si="33"/>
        <v>7.9971811874530618E-2</v>
      </c>
      <c r="BP39" s="10">
        <f t="shared" si="34"/>
        <v>-0.92570223805034668</v>
      </c>
      <c r="BQ39" s="10">
        <f t="shared" si="35"/>
        <v>0.93639042727493238</v>
      </c>
    </row>
    <row r="40" spans="2:69">
      <c r="B40">
        <f t="shared" si="36"/>
        <v>4800</v>
      </c>
      <c r="C40">
        <f t="shared" si="46"/>
        <v>159.20000000000027</v>
      </c>
      <c r="D40">
        <f t="shared" si="0"/>
        <v>619.20000000000027</v>
      </c>
      <c r="E40">
        <f t="shared" si="37"/>
        <v>618.8000000000003</v>
      </c>
      <c r="F40">
        <f t="shared" si="47"/>
        <v>633.83051353785777</v>
      </c>
      <c r="G40">
        <f t="shared" si="38"/>
        <v>630.98550218616924</v>
      </c>
      <c r="H40">
        <f t="shared" si="1"/>
        <v>0.93614965129156957</v>
      </c>
      <c r="I40">
        <f t="shared" si="39"/>
        <v>0.93627003928325103</v>
      </c>
      <c r="K40">
        <f t="shared" si="40"/>
        <v>-7.5224461391747493E-3</v>
      </c>
      <c r="L40">
        <f t="shared" si="41"/>
        <v>4.4029230061330814E-3</v>
      </c>
      <c r="M40">
        <f t="shared" si="48"/>
        <v>207296423.67740232</v>
      </c>
      <c r="N40">
        <f t="shared" si="49"/>
        <v>408977.30365488783</v>
      </c>
      <c r="O40">
        <f t="shared" si="50"/>
        <v>639.51333344574437</v>
      </c>
      <c r="Q40" s="2">
        <f t="shared" si="42"/>
        <v>1.9189296144147312</v>
      </c>
      <c r="R40" s="2">
        <f t="shared" si="2"/>
        <v>3.0752077154082232E-2</v>
      </c>
      <c r="W40" s="2">
        <f t="shared" si="3"/>
        <v>149174.23944587586</v>
      </c>
      <c r="X40" s="2">
        <f t="shared" si="43"/>
        <v>1191.0754300000003</v>
      </c>
      <c r="Y40" s="2">
        <f t="shared" si="4"/>
        <v>125.24331850743981</v>
      </c>
      <c r="Z40" s="2">
        <f t="shared" si="44"/>
        <v>5.231023000813952</v>
      </c>
      <c r="AA40" s="2">
        <f t="shared" si="5"/>
        <v>1.2836204846189772</v>
      </c>
      <c r="AB40" s="2">
        <f t="shared" si="6"/>
        <v>1.0617544597783368</v>
      </c>
      <c r="AC40" s="2">
        <f t="shared" si="7"/>
        <v>1.3297765198271293E-2</v>
      </c>
      <c r="AD40" s="2">
        <f t="shared" si="8"/>
        <v>2257487.6140682339</v>
      </c>
      <c r="AI40">
        <f t="shared" si="9"/>
        <v>2.2348738343277159E-6</v>
      </c>
      <c r="AK40">
        <f t="shared" si="10"/>
        <v>1.1508182778234211E-5</v>
      </c>
      <c r="AL40">
        <f t="shared" si="11"/>
        <v>-3.9765905930103056</v>
      </c>
      <c r="AM40">
        <f t="shared" si="12"/>
        <v>15.070404951567681</v>
      </c>
      <c r="AN40">
        <f t="shared" si="13"/>
        <v>227.1171054042357</v>
      </c>
      <c r="AO40">
        <f t="shared" si="14"/>
        <v>4.4030149037878243E-3</v>
      </c>
      <c r="AQ40" s="3">
        <f t="shared" si="45"/>
        <v>159.20000000000027</v>
      </c>
      <c r="AR40" s="3">
        <f t="shared" si="15"/>
        <v>619.20000000000027</v>
      </c>
      <c r="AS40">
        <f t="shared" si="51"/>
        <v>633.83051353785777</v>
      </c>
      <c r="AV40" s="3">
        <f t="shared" si="16"/>
        <v>1.6512000000000007</v>
      </c>
      <c r="AW40" s="3">
        <f t="shared" si="17"/>
        <v>0.94460583239621132</v>
      </c>
      <c r="AX40" s="4">
        <v>0.8</v>
      </c>
      <c r="AY40" s="5">
        <f t="shared" si="18"/>
        <v>0.19307441159987962</v>
      </c>
      <c r="AZ40" s="5">
        <f t="shared" si="19"/>
        <v>-8.5378342494632817E-2</v>
      </c>
      <c r="BA40" s="5">
        <f t="shared" si="20"/>
        <v>6.3124784274430617E-3</v>
      </c>
      <c r="BB40" s="5">
        <f t="shared" si="21"/>
        <v>-1.0714383257122201E-5</v>
      </c>
      <c r="BC40" s="5">
        <f t="shared" si="22"/>
        <v>5.2157011700865912E-3</v>
      </c>
      <c r="BD40" s="5">
        <f t="shared" si="23"/>
        <v>0.97348073655597311</v>
      </c>
      <c r="BE40" s="6">
        <f t="shared" si="24"/>
        <v>0.92602223493277913</v>
      </c>
      <c r="BF40" s="7">
        <f t="shared" si="25"/>
        <v>0.12602223493277909</v>
      </c>
      <c r="BG40" s="5">
        <v>0.85</v>
      </c>
      <c r="BH40" s="5">
        <f t="shared" si="26"/>
        <v>0.18171709327047494</v>
      </c>
      <c r="BI40" s="5">
        <f t="shared" si="27"/>
        <v>-8.0356087053772063E-2</v>
      </c>
      <c r="BJ40" s="5">
        <f t="shared" si="28"/>
        <v>5.5916763924755159E-3</v>
      </c>
      <c r="BK40" s="5">
        <f t="shared" si="29"/>
        <v>-7.9126596116511572E-6</v>
      </c>
      <c r="BL40" s="5">
        <f t="shared" si="30"/>
        <v>4.6063284757470215E-3</v>
      </c>
      <c r="BM40" s="5">
        <f t="shared" si="31"/>
        <v>0.97647296512513182</v>
      </c>
      <c r="BN40" s="8">
        <f t="shared" si="32"/>
        <v>0.9297414572233681</v>
      </c>
      <c r="BO40" s="9">
        <f t="shared" si="33"/>
        <v>7.9741457223368117E-2</v>
      </c>
      <c r="BP40" s="10">
        <f t="shared" si="34"/>
        <v>-0.92561555418822061</v>
      </c>
      <c r="BQ40" s="10">
        <f t="shared" si="35"/>
        <v>0.93614965129156957</v>
      </c>
    </row>
    <row r="41" spans="2:69">
      <c r="B41">
        <f t="shared" si="36"/>
        <v>5000</v>
      </c>
      <c r="C41">
        <f t="shared" si="46"/>
        <v>160.00000000000028</v>
      </c>
      <c r="D41">
        <f t="shared" si="0"/>
        <v>620.00000000000023</v>
      </c>
      <c r="E41">
        <f t="shared" si="37"/>
        <v>619.60000000000025</v>
      </c>
      <c r="F41">
        <f t="shared" si="47"/>
        <v>639.51333344574437</v>
      </c>
      <c r="G41">
        <f t="shared" si="38"/>
        <v>636.67192349180107</v>
      </c>
      <c r="H41">
        <f t="shared" si="1"/>
        <v>0.93591438253055381</v>
      </c>
      <c r="I41">
        <f t="shared" si="39"/>
        <v>0.93603201691106164</v>
      </c>
      <c r="K41">
        <f t="shared" si="40"/>
        <v>-7.5146438941275807E-3</v>
      </c>
      <c r="L41">
        <f t="shared" si="41"/>
        <v>4.4030149037878243E-3</v>
      </c>
      <c r="M41">
        <f t="shared" si="48"/>
        <v>207731443.00124234</v>
      </c>
      <c r="N41">
        <f t="shared" si="49"/>
        <v>416269.34638587479</v>
      </c>
      <c r="O41">
        <f t="shared" si="50"/>
        <v>645.18938799849673</v>
      </c>
      <c r="Q41" s="2">
        <f t="shared" si="42"/>
        <v>1.9341222576496382</v>
      </c>
      <c r="R41" s="2">
        <f t="shared" si="2"/>
        <v>3.0995549000795486E-2</v>
      </c>
      <c r="W41" s="2">
        <f t="shared" si="3"/>
        <v>149463.4301667469</v>
      </c>
      <c r="X41" s="2">
        <f t="shared" si="43"/>
        <v>1191.8754300000003</v>
      </c>
      <c r="Y41" s="2">
        <f t="shared" si="4"/>
        <v>125.40188882553511</v>
      </c>
      <c r="Z41" s="2">
        <f t="shared" si="44"/>
        <v>5.228967486935483</v>
      </c>
      <c r="AA41" s="2">
        <f t="shared" si="5"/>
        <v>1.2840776309055488</v>
      </c>
      <c r="AB41" s="2">
        <f t="shared" si="6"/>
        <v>1.0622746969573942</v>
      </c>
      <c r="AC41" s="2">
        <f t="shared" si="7"/>
        <v>1.3321125345003015E-2</v>
      </c>
      <c r="AD41" s="2">
        <f t="shared" si="8"/>
        <v>2253528.8462806866</v>
      </c>
      <c r="AI41">
        <f t="shared" si="9"/>
        <v>2.2387998309082214E-6</v>
      </c>
      <c r="AK41">
        <f t="shared" si="10"/>
        <v>1.1526337496170109E-5</v>
      </c>
      <c r="AL41">
        <f t="shared" si="11"/>
        <v>-3.9765158918996368</v>
      </c>
      <c r="AM41">
        <f t="shared" si="12"/>
        <v>15.070247839580524</v>
      </c>
      <c r="AN41">
        <f t="shared" si="13"/>
        <v>227.11236994638145</v>
      </c>
      <c r="AO41">
        <f t="shared" si="14"/>
        <v>4.4031067098462681E-3</v>
      </c>
      <c r="AQ41" s="3">
        <f t="shared" si="45"/>
        <v>160.00000000000028</v>
      </c>
      <c r="AR41" s="3">
        <f t="shared" si="15"/>
        <v>620.00000000000023</v>
      </c>
      <c r="AS41">
        <f t="shared" si="51"/>
        <v>639.51333344574437</v>
      </c>
      <c r="AV41" s="3">
        <f t="shared" si="16"/>
        <v>1.653333333333334</v>
      </c>
      <c r="AW41" s="3">
        <f t="shared" si="17"/>
        <v>0.95307501258680238</v>
      </c>
      <c r="AX41" s="4">
        <v>0.8</v>
      </c>
      <c r="AY41" s="5">
        <f t="shared" si="18"/>
        <v>0.19455412303309214</v>
      </c>
      <c r="AZ41" s="5">
        <f t="shared" si="19"/>
        <v>-8.5777649653658791E-2</v>
      </c>
      <c r="BA41" s="5">
        <f t="shared" si="20"/>
        <v>6.424776831616387E-3</v>
      </c>
      <c r="BB41" s="5">
        <f t="shared" si="21"/>
        <v>-1.1119499526605547E-5</v>
      </c>
      <c r="BC41" s="5">
        <f t="shared" si="22"/>
        <v>5.2776037492835125E-3</v>
      </c>
      <c r="BD41" s="5">
        <f t="shared" si="23"/>
        <v>0.97307823682216388</v>
      </c>
      <c r="BE41" s="6">
        <f t="shared" si="24"/>
        <v>0.92579376802848301</v>
      </c>
      <c r="BF41" s="7">
        <f t="shared" si="25"/>
        <v>0.12579376802848297</v>
      </c>
      <c r="BG41" s="5">
        <v>0.85</v>
      </c>
      <c r="BH41" s="5">
        <f t="shared" si="26"/>
        <v>0.18310976285467501</v>
      </c>
      <c r="BI41" s="5">
        <f t="shared" si="27"/>
        <v>-8.0731905556384764E-2</v>
      </c>
      <c r="BJ41" s="5">
        <f t="shared" si="28"/>
        <v>5.6911517954802635E-3</v>
      </c>
      <c r="BK41" s="5">
        <f t="shared" si="29"/>
        <v>-8.2118412879677007E-6</v>
      </c>
      <c r="BL41" s="5">
        <f t="shared" si="30"/>
        <v>4.6607894396404857E-3</v>
      </c>
      <c r="BM41" s="5">
        <f t="shared" si="31"/>
        <v>0.97611532121427347</v>
      </c>
      <c r="BN41" s="8">
        <f t="shared" si="32"/>
        <v>0.92951692606137026</v>
      </c>
      <c r="BO41" s="9">
        <f t="shared" si="33"/>
        <v>7.9516926061370286E-2</v>
      </c>
      <c r="BP41" s="10">
        <f t="shared" si="34"/>
        <v>-0.92553683934225484</v>
      </c>
      <c r="BQ41" s="10">
        <f t="shared" si="35"/>
        <v>0.93591438253055381</v>
      </c>
    </row>
    <row r="42" spans="2:69">
      <c r="B42">
        <f t="shared" si="36"/>
        <v>5200</v>
      </c>
      <c r="C42">
        <f t="shared" si="46"/>
        <v>160.8000000000003</v>
      </c>
      <c r="D42">
        <f t="shared" si="0"/>
        <v>620.8000000000003</v>
      </c>
      <c r="E42">
        <f t="shared" si="37"/>
        <v>620.40000000000032</v>
      </c>
      <c r="F42">
        <f t="shared" si="47"/>
        <v>645.18938799849673</v>
      </c>
      <c r="G42">
        <f t="shared" si="38"/>
        <v>642.35136072212049</v>
      </c>
      <c r="H42">
        <f t="shared" si="1"/>
        <v>0.93568453343920832</v>
      </c>
      <c r="I42">
        <f t="shared" si="39"/>
        <v>0.93579945798488107</v>
      </c>
      <c r="K42">
        <f t="shared" si="40"/>
        <v>-7.506818914446118E-3</v>
      </c>
      <c r="L42">
        <f t="shared" si="41"/>
        <v>4.4031067098462681E-3</v>
      </c>
      <c r="M42">
        <f t="shared" si="48"/>
        <v>208169080.508968</v>
      </c>
      <c r="N42">
        <f t="shared" si="49"/>
        <v>423617.56754595583</v>
      </c>
      <c r="O42">
        <f t="shared" si="50"/>
        <v>650.8590996106268</v>
      </c>
      <c r="Q42" s="2">
        <f t="shared" si="42"/>
        <v>1.9492528882216731</v>
      </c>
      <c r="R42" s="2">
        <f t="shared" si="2"/>
        <v>3.1238027054834507E-2</v>
      </c>
      <c r="W42" s="2">
        <f t="shared" si="3"/>
        <v>149752.80752251396</v>
      </c>
      <c r="X42" s="2">
        <f t="shared" si="43"/>
        <v>1192.6754300000002</v>
      </c>
      <c r="Y42" s="2">
        <f t="shared" si="4"/>
        <v>125.56040290233356</v>
      </c>
      <c r="Z42" s="2">
        <f t="shared" si="44"/>
        <v>5.2269172707731943</v>
      </c>
      <c r="AA42" s="2">
        <f t="shared" si="5"/>
        <v>1.2845335989800417</v>
      </c>
      <c r="AB42" s="2">
        <f t="shared" si="6"/>
        <v>1.0627924562231599</v>
      </c>
      <c r="AC42" s="2">
        <f t="shared" si="7"/>
        <v>1.3344464900494067E-2</v>
      </c>
      <c r="AD42" s="2">
        <f t="shared" si="8"/>
        <v>2249587.4097412187</v>
      </c>
      <c r="AI42">
        <f t="shared" si="9"/>
        <v>2.2427223668452052E-6</v>
      </c>
      <c r="AK42">
        <f t="shared" si="10"/>
        <v>1.1544472971731782E-5</v>
      </c>
      <c r="AL42">
        <f t="shared" si="11"/>
        <v>-3.9764412827918405</v>
      </c>
      <c r="AM42">
        <f t="shared" si="12"/>
        <v>15.070090885633311</v>
      </c>
      <c r="AN42">
        <f t="shared" si="13"/>
        <v>227.10763930124818</v>
      </c>
      <c r="AO42">
        <f t="shared" si="14"/>
        <v>4.4031984264234483E-3</v>
      </c>
      <c r="AQ42" s="3">
        <f t="shared" si="45"/>
        <v>160.8000000000003</v>
      </c>
      <c r="AR42" s="3">
        <f t="shared" si="15"/>
        <v>620.8000000000003</v>
      </c>
      <c r="AS42">
        <f t="shared" si="51"/>
        <v>645.18938799849673</v>
      </c>
      <c r="AV42" s="3">
        <f t="shared" si="16"/>
        <v>1.6554666666666675</v>
      </c>
      <c r="AW42" s="3">
        <f t="shared" si="17"/>
        <v>0.96153411028091906</v>
      </c>
      <c r="AX42" s="4">
        <v>0.8</v>
      </c>
      <c r="AY42" s="5">
        <f t="shared" si="18"/>
        <v>0.19602796525842259</v>
      </c>
      <c r="AZ42" s="5">
        <f t="shared" si="19"/>
        <v>-8.6171409854637435E-2</v>
      </c>
      <c r="BA42" s="5">
        <f t="shared" si="20"/>
        <v>6.5378574855124091E-3</v>
      </c>
      <c r="BB42" s="5">
        <f t="shared" si="21"/>
        <v>-1.1534880961827352E-5</v>
      </c>
      <c r="BC42" s="5">
        <f t="shared" si="22"/>
        <v>5.3393370726074248E-3</v>
      </c>
      <c r="BD42" s="5">
        <f t="shared" si="23"/>
        <v>0.97267444620904853</v>
      </c>
      <c r="BE42" s="6">
        <f t="shared" si="24"/>
        <v>0.92557141924205866</v>
      </c>
      <c r="BF42" s="7">
        <f t="shared" si="25"/>
        <v>0.12557141924205861</v>
      </c>
      <c r="BG42" s="5">
        <v>0.85</v>
      </c>
      <c r="BH42" s="5">
        <f t="shared" si="26"/>
        <v>0.18449690847851541</v>
      </c>
      <c r="BI42" s="5">
        <f t="shared" si="27"/>
        <v>-8.1102503392599959E-2</v>
      </c>
      <c r="BJ42" s="5">
        <f t="shared" si="28"/>
        <v>5.7913201255750087E-3</v>
      </c>
      <c r="BK42" s="5">
        <f t="shared" si="29"/>
        <v>-8.5186038730865778E-6</v>
      </c>
      <c r="BL42" s="5">
        <f t="shared" si="30"/>
        <v>4.7150954310317484E-3</v>
      </c>
      <c r="BM42" s="5">
        <f t="shared" si="31"/>
        <v>0.97575651330981239</v>
      </c>
      <c r="BN42" s="8">
        <f t="shared" si="32"/>
        <v>0.92929812041455473</v>
      </c>
      <c r="BO42" s="9">
        <f t="shared" si="33"/>
        <v>7.9298120414554751E-2</v>
      </c>
      <c r="BP42" s="10">
        <f t="shared" si="34"/>
        <v>-0.92546597655007845</v>
      </c>
      <c r="BQ42" s="10">
        <f t="shared" si="35"/>
        <v>0.93568453343920832</v>
      </c>
    </row>
    <row r="43" spans="2:69">
      <c r="B43">
        <f t="shared" si="36"/>
        <v>5400</v>
      </c>
      <c r="C43">
        <f t="shared" si="46"/>
        <v>161.60000000000031</v>
      </c>
      <c r="D43">
        <f t="shared" si="0"/>
        <v>621.60000000000036</v>
      </c>
      <c r="E43">
        <f t="shared" si="37"/>
        <v>621.20000000000027</v>
      </c>
      <c r="F43">
        <f t="shared" si="47"/>
        <v>650.8590996106268</v>
      </c>
      <c r="G43">
        <f t="shared" si="38"/>
        <v>648.02424380456182</v>
      </c>
      <c r="H43">
        <f t="shared" si="1"/>
        <v>0.93546001915021681</v>
      </c>
      <c r="I43">
        <f t="shared" si="39"/>
        <v>0.93557227629471251</v>
      </c>
      <c r="K43">
        <f t="shared" si="40"/>
        <v>-7.498971914421379E-3</v>
      </c>
      <c r="L43">
        <f t="shared" si="41"/>
        <v>4.4031984264234483E-3</v>
      </c>
      <c r="M43">
        <f t="shared" si="48"/>
        <v>208609314.14460808</v>
      </c>
      <c r="N43">
        <f t="shared" si="49"/>
        <v>431022.28719610441</v>
      </c>
      <c r="O43">
        <f t="shared" si="50"/>
        <v>656.52287636921255</v>
      </c>
      <c r="Q43" s="2">
        <f t="shared" si="42"/>
        <v>1.9643228759026015</v>
      </c>
      <c r="R43" s="2">
        <f t="shared" si="2"/>
        <v>3.1479533267669897E-2</v>
      </c>
      <c r="W43" s="2">
        <f t="shared" si="3"/>
        <v>150042.37139288339</v>
      </c>
      <c r="X43" s="2">
        <f t="shared" si="43"/>
        <v>1193.4754300000004</v>
      </c>
      <c r="Y43" s="2">
        <f t="shared" si="4"/>
        <v>125.7188607501399</v>
      </c>
      <c r="Z43" s="2">
        <f t="shared" si="44"/>
        <v>5.2248723318725858</v>
      </c>
      <c r="AA43" s="2">
        <f t="shared" si="5"/>
        <v>1.2849883933915371</v>
      </c>
      <c r="AB43" s="2">
        <f t="shared" si="6"/>
        <v>1.0633077884555533</v>
      </c>
      <c r="AC43" s="2">
        <f t="shared" si="7"/>
        <v>1.3367784379138293E-2</v>
      </c>
      <c r="AD43" s="2">
        <f t="shared" si="8"/>
        <v>2245663.109043966</v>
      </c>
      <c r="AI43">
        <f t="shared" si="9"/>
        <v>2.246641528589685E-6</v>
      </c>
      <c r="AK43">
        <f t="shared" si="10"/>
        <v>1.1562589619312898E-5</v>
      </c>
      <c r="AL43">
        <f t="shared" si="11"/>
        <v>-3.9763667639373423</v>
      </c>
      <c r="AM43">
        <f t="shared" si="12"/>
        <v>15.06993408620948</v>
      </c>
      <c r="AN43">
        <f t="shared" si="13"/>
        <v>227.10291336269836</v>
      </c>
      <c r="AO43">
        <f t="shared" si="14"/>
        <v>4.4032900555658391E-3</v>
      </c>
      <c r="AQ43" s="3">
        <f t="shared" si="45"/>
        <v>161.60000000000031</v>
      </c>
      <c r="AR43" s="3">
        <f t="shared" si="15"/>
        <v>621.60000000000036</v>
      </c>
      <c r="AS43">
        <f t="shared" si="51"/>
        <v>650.8590996106268</v>
      </c>
      <c r="AV43" s="3">
        <f t="shared" si="16"/>
        <v>1.6576000000000011</v>
      </c>
      <c r="AW43" s="3">
        <f t="shared" si="17"/>
        <v>0.96998375500838574</v>
      </c>
      <c r="AX43" s="4">
        <v>0.8</v>
      </c>
      <c r="AY43" s="5">
        <f t="shared" si="18"/>
        <v>0.19749608911397804</v>
      </c>
      <c r="AZ43" s="5">
        <f t="shared" si="19"/>
        <v>-8.6559727881807935E-2</v>
      </c>
      <c r="BA43" s="5">
        <f t="shared" si="20"/>
        <v>6.6517228835968516E-3</v>
      </c>
      <c r="BB43" s="5">
        <f t="shared" si="21"/>
        <v>-1.1960678276480543E-5</v>
      </c>
      <c r="BC43" s="5">
        <f t="shared" si="22"/>
        <v>5.4009029772895791E-3</v>
      </c>
      <c r="BD43" s="5">
        <f t="shared" si="23"/>
        <v>0.9722693610795724</v>
      </c>
      <c r="BE43" s="6">
        <f t="shared" si="24"/>
        <v>0.92535508816704737</v>
      </c>
      <c r="BF43" s="7">
        <f t="shared" si="25"/>
        <v>0.12535508816704732</v>
      </c>
      <c r="BG43" s="5">
        <v>0.85</v>
      </c>
      <c r="BH43" s="5">
        <f t="shared" si="26"/>
        <v>0.18587867210727346</v>
      </c>
      <c r="BI43" s="5">
        <f t="shared" si="27"/>
        <v>-8.1467979182878056E-2</v>
      </c>
      <c r="BJ43" s="5">
        <f t="shared" si="28"/>
        <v>5.892183592390291E-3</v>
      </c>
      <c r="BK43" s="5">
        <f t="shared" si="29"/>
        <v>-8.8330586703019117E-6</v>
      </c>
      <c r="BL43" s="5">
        <f t="shared" si="30"/>
        <v>4.7692480706171096E-3</v>
      </c>
      <c r="BM43" s="5">
        <f t="shared" si="31"/>
        <v>0.97539653800868109</v>
      </c>
      <c r="BN43" s="8">
        <f t="shared" si="32"/>
        <v>0.92908494552516707</v>
      </c>
      <c r="BO43" s="9">
        <f t="shared" si="33"/>
        <v>7.9084945525167094E-2</v>
      </c>
      <c r="BP43" s="10">
        <f t="shared" si="34"/>
        <v>-0.92540285283760582</v>
      </c>
      <c r="BQ43" s="10">
        <f t="shared" si="35"/>
        <v>0.93546001915021681</v>
      </c>
    </row>
    <row r="44" spans="2:69">
      <c r="B44">
        <f t="shared" si="36"/>
        <v>5600</v>
      </c>
      <c r="C44">
        <f t="shared" si="46"/>
        <v>162.40000000000032</v>
      </c>
      <c r="D44">
        <f t="shared" si="0"/>
        <v>622.40000000000032</v>
      </c>
      <c r="E44">
        <f t="shared" si="37"/>
        <v>622.00000000000034</v>
      </c>
      <c r="F44">
        <f t="shared" si="47"/>
        <v>656.52287636921255</v>
      </c>
      <c r="G44">
        <f t="shared" si="38"/>
        <v>653.69098798991968</v>
      </c>
      <c r="H44">
        <f t="shared" si="1"/>
        <v>0.93524075736364642</v>
      </c>
      <c r="I44">
        <f t="shared" si="39"/>
        <v>0.93535038825693162</v>
      </c>
      <c r="K44">
        <f t="shared" si="40"/>
        <v>-7.491103586381386E-3</v>
      </c>
      <c r="L44">
        <f t="shared" si="41"/>
        <v>4.4032900555658391E-3</v>
      </c>
      <c r="M44">
        <f t="shared" si="48"/>
        <v>209052122.73489165</v>
      </c>
      <c r="N44">
        <f t="shared" si="49"/>
        <v>438483.82600516872</v>
      </c>
      <c r="O44">
        <f t="shared" si="50"/>
        <v>662.18111269136079</v>
      </c>
      <c r="Q44" s="2">
        <f t="shared" si="42"/>
        <v>1.9793335430077377</v>
      </c>
      <c r="R44" s="2">
        <f t="shared" si="2"/>
        <v>3.1720088830252208E-2</v>
      </c>
      <c r="W44" s="2">
        <f t="shared" si="3"/>
        <v>150332.12165779431</v>
      </c>
      <c r="X44" s="2">
        <f t="shared" si="43"/>
        <v>1194.2754300000004</v>
      </c>
      <c r="Y44" s="2">
        <f t="shared" si="4"/>
        <v>125.87726238142089</v>
      </c>
      <c r="Z44" s="2">
        <f t="shared" si="44"/>
        <v>5.2228326498843174</v>
      </c>
      <c r="AA44" s="2">
        <f t="shared" si="5"/>
        <v>1.285442018665728</v>
      </c>
      <c r="AB44" s="2">
        <f t="shared" si="6"/>
        <v>1.0638207429599684</v>
      </c>
      <c r="AC44" s="2">
        <f t="shared" si="7"/>
        <v>1.3391084278837007E-2</v>
      </c>
      <c r="AD44" s="2">
        <f t="shared" si="8"/>
        <v>2241755.7536641988</v>
      </c>
      <c r="AI44">
        <f t="shared" si="9"/>
        <v>2.2505573998208819E-6</v>
      </c>
      <c r="AK44">
        <f t="shared" si="10"/>
        <v>1.1580687840150818E-5</v>
      </c>
      <c r="AL44">
        <f t="shared" si="11"/>
        <v>-3.9762923336419109</v>
      </c>
      <c r="AM44">
        <f t="shared" si="12"/>
        <v>15.069777437905136</v>
      </c>
      <c r="AN44">
        <f t="shared" si="13"/>
        <v>227.09819202799468</v>
      </c>
      <c r="AO44">
        <f t="shared" si="14"/>
        <v>4.4033815992543385E-3</v>
      </c>
      <c r="AQ44" s="3">
        <f t="shared" si="45"/>
        <v>162.40000000000032</v>
      </c>
      <c r="AR44" s="3">
        <f t="shared" si="15"/>
        <v>622.40000000000032</v>
      </c>
      <c r="AS44">
        <f t="shared" si="51"/>
        <v>656.52287636921255</v>
      </c>
      <c r="AV44" s="3">
        <f t="shared" si="16"/>
        <v>1.6597333333333342</v>
      </c>
      <c r="AW44" s="3">
        <f t="shared" si="17"/>
        <v>0.97842455494666547</v>
      </c>
      <c r="AX44" s="4">
        <v>0.8</v>
      </c>
      <c r="AY44" s="5">
        <f t="shared" si="18"/>
        <v>0.19895864032043264</v>
      </c>
      <c r="AZ44" s="5">
        <f t="shared" si="19"/>
        <v>-8.6942705226161335E-2</v>
      </c>
      <c r="BA44" s="5">
        <f t="shared" si="20"/>
        <v>6.7663755163240736E-3</v>
      </c>
      <c r="BB44" s="5">
        <f t="shared" si="21"/>
        <v>-1.2397043425348083E-5</v>
      </c>
      <c r="BC44" s="5">
        <f t="shared" si="22"/>
        <v>5.4623032758876911E-3</v>
      </c>
      <c r="BD44" s="5">
        <f t="shared" si="23"/>
        <v>0.97186297785631293</v>
      </c>
      <c r="BE44" s="6">
        <f t="shared" si="24"/>
        <v>0.92514467766124664</v>
      </c>
      <c r="BF44" s="7">
        <f t="shared" si="25"/>
        <v>0.12514467766124659</v>
      </c>
      <c r="BG44" s="5">
        <v>0.85</v>
      </c>
      <c r="BH44" s="5">
        <f t="shared" si="26"/>
        <v>0.18725519088981898</v>
      </c>
      <c r="BI44" s="5">
        <f t="shared" si="27"/>
        <v>-8.1828428448151858E-2</v>
      </c>
      <c r="BJ44" s="5">
        <f t="shared" si="28"/>
        <v>5.993744402003333E-3</v>
      </c>
      <c r="BK44" s="5">
        <f t="shared" si="29"/>
        <v>-9.1553178994629739E-6</v>
      </c>
      <c r="BL44" s="5">
        <f t="shared" si="30"/>
        <v>4.823248957107674E-3</v>
      </c>
      <c r="BM44" s="5">
        <f t="shared" si="31"/>
        <v>0.97503539195951094</v>
      </c>
      <c r="BN44" s="8">
        <f t="shared" si="32"/>
        <v>0.92887730970916271</v>
      </c>
      <c r="BO44" s="9">
        <f t="shared" si="33"/>
        <v>7.8877309709162735E-2</v>
      </c>
      <c r="BP44" s="10">
        <f t="shared" si="34"/>
        <v>-0.92534735904167842</v>
      </c>
      <c r="BQ44" s="10">
        <f t="shared" si="35"/>
        <v>0.93524075736364642</v>
      </c>
    </row>
    <row r="45" spans="2:69">
      <c r="B45">
        <f t="shared" si="36"/>
        <v>5800</v>
      </c>
      <c r="C45">
        <f t="shared" si="46"/>
        <v>163.20000000000033</v>
      </c>
      <c r="D45">
        <f t="shared" si="0"/>
        <v>623.20000000000027</v>
      </c>
      <c r="E45">
        <f t="shared" si="37"/>
        <v>622.8000000000003</v>
      </c>
      <c r="F45">
        <f t="shared" si="47"/>
        <v>662.18111269136079</v>
      </c>
      <c r="G45">
        <f t="shared" si="38"/>
        <v>659.35199453028667</v>
      </c>
      <c r="H45">
        <f t="shared" si="1"/>
        <v>0.93502666823561309</v>
      </c>
      <c r="I45">
        <f t="shared" si="39"/>
        <v>0.93513371279962976</v>
      </c>
      <c r="K45">
        <f t="shared" si="40"/>
        <v>-7.4832146016301192E-3</v>
      </c>
      <c r="L45">
        <f t="shared" si="41"/>
        <v>4.4033815992543385E-3</v>
      </c>
      <c r="M45">
        <f t="shared" si="48"/>
        <v>209497485.94931999</v>
      </c>
      <c r="N45">
        <f t="shared" si="49"/>
        <v>446002.50525763095</v>
      </c>
      <c r="O45">
        <f t="shared" si="50"/>
        <v>667.83418994360488</v>
      </c>
      <c r="Q45" s="2">
        <f t="shared" si="42"/>
        <v>1.9942861665487575</v>
      </c>
      <c r="R45" s="2">
        <f t="shared" si="2"/>
        <v>3.195971420751214E-2</v>
      </c>
      <c r="W45" s="2">
        <f t="shared" si="3"/>
        <v>150622.05819741741</v>
      </c>
      <c r="X45" s="2">
        <f t="shared" si="43"/>
        <v>1195.0754300000003</v>
      </c>
      <c r="Y45" s="2">
        <f t="shared" si="4"/>
        <v>126.03560780880365</v>
      </c>
      <c r="Z45" s="2">
        <f t="shared" si="44"/>
        <v>5.2207982045635415</v>
      </c>
      <c r="AA45" s="2">
        <f t="shared" si="5"/>
        <v>1.2858944793050686</v>
      </c>
      <c r="AB45" s="2">
        <f t="shared" si="6"/>
        <v>1.0643313675334281</v>
      </c>
      <c r="AC45" s="2">
        <f t="shared" si="7"/>
        <v>1.3414365081705079E-2</v>
      </c>
      <c r="AD45" s="2">
        <f t="shared" si="8"/>
        <v>2237865.1577648371</v>
      </c>
      <c r="AI45">
        <f t="shared" si="9"/>
        <v>2.2544700615648836E-6</v>
      </c>
      <c r="AK45">
        <f t="shared" si="10"/>
        <v>1.1598768022888394E-5</v>
      </c>
      <c r="AL45">
        <f t="shared" si="11"/>
        <v>-3.9762179902642991</v>
      </c>
      <c r="AM45">
        <f t="shared" si="12"/>
        <v>15.069620937424251</v>
      </c>
      <c r="AN45">
        <f t="shared" si="13"/>
        <v>227.09347519765535</v>
      </c>
      <c r="AO45">
        <f t="shared" si="14"/>
        <v>4.4034730594070572E-3</v>
      </c>
      <c r="AQ45" s="3">
        <f t="shared" si="45"/>
        <v>163.20000000000033</v>
      </c>
      <c r="AR45" s="3">
        <f t="shared" si="15"/>
        <v>623.20000000000027</v>
      </c>
      <c r="AS45">
        <f t="shared" si="51"/>
        <v>662.18111269136079</v>
      </c>
      <c r="AV45" s="3">
        <f t="shared" si="16"/>
        <v>1.6618666666666675</v>
      </c>
      <c r="AW45" s="3">
        <f t="shared" si="17"/>
        <v>0.98685709790068676</v>
      </c>
      <c r="AX45" s="4">
        <v>0.8</v>
      </c>
      <c r="AY45" s="5">
        <f t="shared" si="18"/>
        <v>0.20041575971286199</v>
      </c>
      <c r="AZ45" s="5">
        <f t="shared" si="19"/>
        <v>-8.7320440228850854E-2</v>
      </c>
      <c r="BA45" s="5">
        <f t="shared" si="20"/>
        <v>6.8818178702018196E-3</v>
      </c>
      <c r="BB45" s="5">
        <f t="shared" si="21"/>
        <v>-1.2844129614296973E-5</v>
      </c>
      <c r="BC45" s="5">
        <f t="shared" si="22"/>
        <v>5.5235397567837694E-3</v>
      </c>
      <c r="BD45" s="5">
        <f t="shared" si="23"/>
        <v>0.97145529302050848</v>
      </c>
      <c r="BE45" s="6">
        <f t="shared" si="24"/>
        <v>0.92494009370390207</v>
      </c>
      <c r="BF45" s="7">
        <f t="shared" si="25"/>
        <v>0.12494009370390202</v>
      </c>
      <c r="BG45" s="5">
        <v>0.85</v>
      </c>
      <c r="BH45" s="5">
        <f t="shared" si="26"/>
        <v>0.18862659737681131</v>
      </c>
      <c r="BI45" s="5">
        <f t="shared" si="27"/>
        <v>-8.2183943744800814E-2</v>
      </c>
      <c r="BJ45" s="5">
        <f t="shared" si="28"/>
        <v>6.0960047569953851E-3</v>
      </c>
      <c r="BK45" s="5">
        <f t="shared" si="29"/>
        <v>-9.4854947043547852E-6</v>
      </c>
      <c r="BL45" s="5">
        <f t="shared" si="30"/>
        <v>4.8770996676736249E-3</v>
      </c>
      <c r="BM45" s="5">
        <f t="shared" si="31"/>
        <v>0.97467307186177365</v>
      </c>
      <c r="BN45" s="8">
        <f t="shared" si="32"/>
        <v>0.92867512422176635</v>
      </c>
      <c r="BO45" s="9">
        <f t="shared" si="33"/>
        <v>7.8675124221766368E-2</v>
      </c>
      <c r="BP45" s="10">
        <f t="shared" si="34"/>
        <v>-0.9252993896427143</v>
      </c>
      <c r="BQ45" s="10">
        <f t="shared" si="35"/>
        <v>0.93502666823561309</v>
      </c>
    </row>
    <row r="46" spans="2:69">
      <c r="B46">
        <f t="shared" si="36"/>
        <v>6000</v>
      </c>
      <c r="C46">
        <f t="shared" si="46"/>
        <v>164.00000000000034</v>
      </c>
      <c r="D46">
        <f t="shared" si="0"/>
        <v>624.00000000000034</v>
      </c>
      <c r="E46">
        <f t="shared" si="37"/>
        <v>623.60000000000036</v>
      </c>
      <c r="F46">
        <f t="shared" si="47"/>
        <v>667.83418994360488</v>
      </c>
      <c r="G46">
        <f t="shared" si="38"/>
        <v>665.0076513174829</v>
      </c>
      <c r="H46">
        <f t="shared" si="1"/>
        <v>0.93481767427312368</v>
      </c>
      <c r="I46">
        <f t="shared" si="39"/>
        <v>0.93492217125436838</v>
      </c>
      <c r="K46">
        <f t="shared" si="40"/>
        <v>-7.4753056113346233E-3</v>
      </c>
      <c r="L46">
        <f t="shared" si="41"/>
        <v>4.4034730594070572E-3</v>
      </c>
      <c r="M46">
        <f t="shared" si="48"/>
        <v>209945384.26252267</v>
      </c>
      <c r="N46">
        <f t="shared" si="49"/>
        <v>453578.6468609196</v>
      </c>
      <c r="O46">
        <f t="shared" si="50"/>
        <v>673.48247702588344</v>
      </c>
      <c r="Q46" s="2">
        <f t="shared" si="42"/>
        <v>2.0091819802631967</v>
      </c>
      <c r="R46" s="2">
        <f t="shared" si="2"/>
        <v>3.2198429170884564E-2</v>
      </c>
      <c r="W46" s="2">
        <f t="shared" si="3"/>
        <v>150912.18089215417</v>
      </c>
      <c r="X46" s="2">
        <f t="shared" si="43"/>
        <v>1195.8754300000005</v>
      </c>
      <c r="Y46" s="2">
        <f t="shared" si="4"/>
        <v>126.19389704507442</v>
      </c>
      <c r="Z46" s="2">
        <f t="shared" si="44"/>
        <v>5.2187689757692297</v>
      </c>
      <c r="AA46" s="2">
        <f t="shared" si="5"/>
        <v>1.2863457797889235</v>
      </c>
      <c r="AB46" s="2">
        <f t="shared" si="6"/>
        <v>1.0648397085271308</v>
      </c>
      <c r="AC46" s="2">
        <f t="shared" si="7"/>
        <v>1.3437627254737981E-2</v>
      </c>
      <c r="AD46" s="2">
        <f t="shared" si="8"/>
        <v>2233991.1400132379</v>
      </c>
      <c r="AI46">
        <f t="shared" si="9"/>
        <v>2.2583795923067554E-6</v>
      </c>
      <c r="AK46">
        <f t="shared" si="10"/>
        <v>1.1616830544105133E-5</v>
      </c>
      <c r="AL46">
        <f t="shared" si="11"/>
        <v>-3.9761437322140116</v>
      </c>
      <c r="AM46">
        <f t="shared" si="12"/>
        <v>15.069464581574092</v>
      </c>
      <c r="AN46">
        <f t="shared" si="13"/>
        <v>227.08876277531601</v>
      </c>
      <c r="AO46">
        <f t="shared" si="14"/>
        <v>4.4035644378819854E-3</v>
      </c>
      <c r="AQ46" s="3">
        <f t="shared" si="45"/>
        <v>164.00000000000034</v>
      </c>
      <c r="AR46" s="3">
        <f t="shared" si="15"/>
        <v>624.00000000000034</v>
      </c>
      <c r="AS46">
        <f t="shared" si="51"/>
        <v>667.83418994360488</v>
      </c>
      <c r="AV46" s="3">
        <f t="shared" si="16"/>
        <v>1.6640000000000008</v>
      </c>
      <c r="AW46" s="3">
        <f t="shared" si="17"/>
        <v>0.99528195222593874</v>
      </c>
      <c r="AX46" s="4">
        <v>0.8</v>
      </c>
      <c r="AY46" s="5">
        <f t="shared" si="18"/>
        <v>0.20186758345928735</v>
      </c>
      <c r="AZ46" s="5">
        <f t="shared" si="19"/>
        <v>-8.7693028216589683E-2</v>
      </c>
      <c r="BA46" s="5">
        <f t="shared" si="20"/>
        <v>6.9980524278496293E-3</v>
      </c>
      <c r="BB46" s="5">
        <f t="shared" si="21"/>
        <v>-1.3302091310137561E-5</v>
      </c>
      <c r="BC46" s="5">
        <f t="shared" si="22"/>
        <v>5.5846141846656837E-3</v>
      </c>
      <c r="BD46" s="5">
        <f t="shared" si="23"/>
        <v>0.97104630311113016</v>
      </c>
      <c r="BE46" s="6">
        <f t="shared" si="24"/>
        <v>0.92474124526089174</v>
      </c>
      <c r="BF46" s="7">
        <f t="shared" si="25"/>
        <v>0.1247412452608917</v>
      </c>
      <c r="BG46" s="5">
        <v>0.85</v>
      </c>
      <c r="BH46" s="5">
        <f t="shared" si="26"/>
        <v>0.1899930197263881</v>
      </c>
      <c r="BI46" s="5">
        <f t="shared" si="27"/>
        <v>-8.2534614792084404E-2</v>
      </c>
      <c r="BJ46" s="5">
        <f t="shared" si="28"/>
        <v>6.1989668565034777E-3</v>
      </c>
      <c r="BK46" s="5">
        <f t="shared" si="29"/>
        <v>-9.823703159979352E-6</v>
      </c>
      <c r="BL46" s="5">
        <f t="shared" si="30"/>
        <v>4.9308017583740548E-3</v>
      </c>
      <c r="BM46" s="5">
        <f t="shared" si="31"/>
        <v>0.9743095744649628</v>
      </c>
      <c r="BN46" s="8">
        <f t="shared" si="32"/>
        <v>0.92847830313055146</v>
      </c>
      <c r="BO46" s="9">
        <f t="shared" si="33"/>
        <v>7.8478303130551486E-2</v>
      </c>
      <c r="BP46" s="10">
        <f t="shared" si="34"/>
        <v>-0.92525884260680547</v>
      </c>
      <c r="BQ46" s="10">
        <f t="shared" si="35"/>
        <v>0.93481767427312368</v>
      </c>
    </row>
    <row r="47" spans="2:69">
      <c r="B47">
        <f t="shared" si="36"/>
        <v>6200</v>
      </c>
      <c r="C47">
        <f t="shared" si="46"/>
        <v>164.80000000000035</v>
      </c>
      <c r="D47">
        <f t="shared" si="0"/>
        <v>624.80000000000041</v>
      </c>
      <c r="E47">
        <f t="shared" si="37"/>
        <v>624.40000000000032</v>
      </c>
      <c r="F47">
        <f t="shared" si="47"/>
        <v>673.48247702588344</v>
      </c>
      <c r="G47">
        <f t="shared" si="38"/>
        <v>670.65833348474416</v>
      </c>
      <c r="H47">
        <f t="shared" si="1"/>
        <v>0.93461370023468815</v>
      </c>
      <c r="I47">
        <f t="shared" si="39"/>
        <v>0.93471568725390597</v>
      </c>
      <c r="K47">
        <f t="shared" si="40"/>
        <v>-7.4673772473638385E-3</v>
      </c>
      <c r="L47">
        <f t="shared" si="41"/>
        <v>4.4035644378819854E-3</v>
      </c>
      <c r="M47">
        <f t="shared" si="48"/>
        <v>210395798.91873908</v>
      </c>
      <c r="N47">
        <f t="shared" si="49"/>
        <v>461212.5733522962</v>
      </c>
      <c r="O47">
        <f t="shared" si="50"/>
        <v>679.12633092252884</v>
      </c>
      <c r="Q47" s="2">
        <f t="shared" si="42"/>
        <v>2.024022176529134</v>
      </c>
      <c r="R47" s="2">
        <f t="shared" si="2"/>
        <v>3.2436252828992533E-2</v>
      </c>
      <c r="W47" s="2">
        <f t="shared" si="3"/>
        <v>151202.4896226362</v>
      </c>
      <c r="X47" s="2">
        <f t="shared" si="43"/>
        <v>1196.6754300000005</v>
      </c>
      <c r="Y47" s="2">
        <f t="shared" si="4"/>
        <v>126.35213010317773</v>
      </c>
      <c r="Z47" s="2">
        <f t="shared" si="44"/>
        <v>5.2167449434635067</v>
      </c>
      <c r="AA47" s="2">
        <f t="shared" si="5"/>
        <v>1.2867959245737162</v>
      </c>
      <c r="AB47" s="2">
        <f t="shared" si="6"/>
        <v>1.0653458109056331</v>
      </c>
      <c r="AC47" s="2">
        <f t="shared" si="7"/>
        <v>1.3460871250442394E-2</v>
      </c>
      <c r="AD47" s="2">
        <f t="shared" si="8"/>
        <v>2230133.5234075924</v>
      </c>
      <c r="AI47">
        <f t="shared" si="9"/>
        <v>2.26228606809652E-6</v>
      </c>
      <c r="AK47">
        <f t="shared" si="10"/>
        <v>1.1634875768819042E-5</v>
      </c>
      <c r="AL47">
        <f t="shared" si="11"/>
        <v>-3.9760695579491943</v>
      </c>
      <c r="AM47">
        <f t="shared" si="12"/>
        <v>15.069308367260929</v>
      </c>
      <c r="AN47">
        <f t="shared" si="13"/>
        <v>227.08405466760024</v>
      </c>
      <c r="AO47">
        <f t="shared" si="14"/>
        <v>4.4036557364794905E-3</v>
      </c>
      <c r="AQ47" s="3">
        <f t="shared" si="45"/>
        <v>164.80000000000035</v>
      </c>
      <c r="AR47" s="3">
        <f t="shared" si="15"/>
        <v>624.80000000000041</v>
      </c>
      <c r="AS47">
        <f t="shared" si="51"/>
        <v>673.48247702588344</v>
      </c>
      <c r="AV47" s="3">
        <f t="shared" si="16"/>
        <v>1.6661333333333344</v>
      </c>
      <c r="AW47" s="3">
        <f t="shared" si="17"/>
        <v>1.003699667698783</v>
      </c>
      <c r="AX47" s="4">
        <v>0.8</v>
      </c>
      <c r="AY47" s="5">
        <f t="shared" si="18"/>
        <v>0.20331424326684885</v>
      </c>
      <c r="AZ47" s="5">
        <f t="shared" si="19"/>
        <v>-8.8060561629580411E-2</v>
      </c>
      <c r="BA47" s="5">
        <f t="shared" si="20"/>
        <v>7.1150816680514307E-3</v>
      </c>
      <c r="BB47" s="5">
        <f t="shared" si="21"/>
        <v>-1.3771084250354041E-5</v>
      </c>
      <c r="BC47" s="5">
        <f t="shared" si="22"/>
        <v>5.6455283009933313E-3</v>
      </c>
      <c r="BD47" s="5">
        <f t="shared" si="23"/>
        <v>0.97063600472399536</v>
      </c>
      <c r="BE47" s="6">
        <f t="shared" si="24"/>
        <v>0.92454804415735381</v>
      </c>
      <c r="BF47" s="7">
        <f t="shared" si="25"/>
        <v>0.12454804415735377</v>
      </c>
      <c r="BG47" s="5">
        <v>0.85</v>
      </c>
      <c r="BH47" s="5">
        <f t="shared" si="26"/>
        <v>0.1913545818982107</v>
      </c>
      <c r="BI47" s="5">
        <f t="shared" si="27"/>
        <v>-8.2880528592546271E-2</v>
      </c>
      <c r="BJ47" s="5">
        <f t="shared" si="28"/>
        <v>6.3026328962670127E-3</v>
      </c>
      <c r="BK47" s="5">
        <f t="shared" si="29"/>
        <v>-1.0170058279741724E-5</v>
      </c>
      <c r="BL47" s="5">
        <f t="shared" si="30"/>
        <v>4.9843567645730573E-3</v>
      </c>
      <c r="BM47" s="5">
        <f t="shared" si="31"/>
        <v>0.97394489656781036</v>
      </c>
      <c r="BN47" s="8">
        <f t="shared" si="32"/>
        <v>0.92828676319552961</v>
      </c>
      <c r="BO47" s="9">
        <f t="shared" si="33"/>
        <v>7.8286763195529629E-2</v>
      </c>
      <c r="BP47" s="10">
        <f t="shared" si="34"/>
        <v>-0.92522561923648394</v>
      </c>
      <c r="BQ47" s="10">
        <f t="shared" si="35"/>
        <v>0.93461370023468815</v>
      </c>
    </row>
    <row r="48" spans="2:69">
      <c r="B48">
        <f t="shared" si="36"/>
        <v>6400</v>
      </c>
      <c r="C48">
        <f t="shared" si="46"/>
        <v>165.60000000000036</v>
      </c>
      <c r="D48">
        <f t="shared" ref="D48:D66" si="52">460+C48</f>
        <v>625.60000000000036</v>
      </c>
      <c r="E48">
        <f t="shared" si="37"/>
        <v>625.20000000000039</v>
      </c>
      <c r="F48">
        <f t="shared" si="47"/>
        <v>679.12633092252884</v>
      </c>
      <c r="G48">
        <f t="shared" si="38"/>
        <v>676.30440397420614</v>
      </c>
      <c r="H48">
        <f t="shared" ref="H48:H66" si="53">BQ48</f>
        <v>0.93441467303630499</v>
      </c>
      <c r="I48">
        <f t="shared" si="39"/>
        <v>0.93451418663549657</v>
      </c>
      <c r="K48">
        <f t="shared" si="40"/>
        <v>-7.4594301230823147E-3</v>
      </c>
      <c r="L48">
        <f t="shared" si="41"/>
        <v>4.4036557364794905E-3</v>
      </c>
      <c r="M48">
        <f t="shared" si="48"/>
        <v>210848711.89828223</v>
      </c>
      <c r="N48">
        <f t="shared" si="49"/>
        <v>468904.60790534131</v>
      </c>
      <c r="O48">
        <f t="shared" si="50"/>
        <v>684.7660972225051</v>
      </c>
      <c r="Q48" s="2">
        <f t="shared" si="42"/>
        <v>2.0388079081729034</v>
      </c>
      <c r="R48" s="2">
        <f t="shared" ref="R48:R66" si="54">Q48/62.4</f>
        <v>3.2673203656617043E-2</v>
      </c>
      <c r="W48" s="2">
        <f t="shared" ref="W48:W66" si="55">(9.379+0.01607*$V$16)*D48^1.5</f>
        <v>151492.98426972391</v>
      </c>
      <c r="X48" s="2">
        <f t="shared" si="43"/>
        <v>1197.4754300000004</v>
      </c>
      <c r="Y48" s="2">
        <f t="shared" ref="Y48:Y66" si="56">W48/X48</f>
        <v>126.51030699621441</v>
      </c>
      <c r="Z48" s="2">
        <f t="shared" si="44"/>
        <v>5.2147260877109964</v>
      </c>
      <c r="AA48" s="2">
        <f t="shared" ref="AA48:AA66" si="57">2.447-(0.2224*Z48)</f>
        <v>1.2872449180930745</v>
      </c>
      <c r="AB48" s="2">
        <f t="shared" ref="AB48:AB66" si="58">EXP(Z48*R48^AA48)</f>
        <v>1.0658497183028861</v>
      </c>
      <c r="AC48" s="2">
        <f t="shared" ref="AC48:AC66" si="59">(Y48*10^-4)*AB48</f>
        <v>1.3484097507432678E-2</v>
      </c>
      <c r="AD48" s="2">
        <f t="shared" ref="AD48:AD66" si="60">(20.09*$U$16*$G$4)/($G$5*AC48)</f>
        <v>2226292.1351123238</v>
      </c>
      <c r="AI48">
        <f t="shared" ref="AI48:AI66" si="61">5.0452/AD48</f>
        <v>2.266189562649402E-6</v>
      </c>
      <c r="AK48">
        <f t="shared" ref="AK48:AK66" si="62">(7.149/AD48)^0.8981</f>
        <v>1.1652904050961748E-5</v>
      </c>
      <c r="AL48">
        <f t="shared" ref="AL48:AL66" si="63">LOG($AJ$16+AK48)</f>
        <v>-3.9759954659746408</v>
      </c>
      <c r="AM48">
        <f t="shared" ref="AM48:AM66" si="64">-4*LOG($AH$16-AI48*AL48)</f>
        <v>15.069152291485951</v>
      </c>
      <c r="AN48">
        <f t="shared" ref="AN48:AN66" si="65">AM48^2</f>
        <v>227.07935078399629</v>
      </c>
      <c r="AO48">
        <f t="shared" ref="AO48:AO66" si="66">1/AN48</f>
        <v>4.4037469569446919E-3</v>
      </c>
      <c r="AQ48" s="3">
        <f t="shared" si="45"/>
        <v>165.60000000000036</v>
      </c>
      <c r="AR48" s="3">
        <f t="shared" ref="AR48:AR66" si="67">D48</f>
        <v>625.60000000000036</v>
      </c>
      <c r="AS48">
        <f t="shared" si="51"/>
        <v>679.12633092252884</v>
      </c>
      <c r="AV48" s="3">
        <f t="shared" ref="AV48:AV66" si="68">AR48/$AT$16</f>
        <v>1.6682666666666677</v>
      </c>
      <c r="AW48" s="3">
        <f t="shared" ref="AW48:AW66" si="69">AS48/$AU$16</f>
        <v>1.0121107763375989</v>
      </c>
      <c r="AX48" s="4">
        <v>0.8</v>
      </c>
      <c r="AY48" s="5">
        <f t="shared" ref="AY48:AY66" si="70">0.27*AW48/AX48/AV48</f>
        <v>0.20475586657645028</v>
      </c>
      <c r="AZ48" s="5">
        <f t="shared" ref="AZ48:AZ66" si="71">($AR$12+$AT$12/AV48+$AV$12/AV48^3+$AX$12/AV48^4+$AZ$12/AV48^5)*AY48</f>
        <v>-8.8423130142477241E-2</v>
      </c>
      <c r="BA48" s="5">
        <f t="shared" ref="BA48:BA66" si="72">($BB$12+$BD$12/AV48+$AR$13/AV48^2)*AY48^2</f>
        <v>7.2329080658025619E-3</v>
      </c>
      <c r="BB48" s="5">
        <f t="shared" ref="BB48:BB66" si="73">$AT$13*($BD$12/AV48+$AR$13/AV48^2)*AY48^5</f>
        <v>-1.4251265452710733E-5</v>
      </c>
      <c r="BC48" s="5">
        <f t="shared" ref="BC48:BC66" si="74">$AV$13*(1+$AX$13*AY48^2)*(AY48^2/AV48^3)</f>
        <v>5.7062838244500598E-3</v>
      </c>
      <c r="BD48" s="5">
        <f t="shared" ref="BD48:BD66" si="75">EXP(-$AX$13*AY48^2)</f>
        <v>0.97022439451092068</v>
      </c>
      <c r="BE48" s="6">
        <f t="shared" ref="BE48:BE66" si="76">1+AZ48+BA48-BB48+BC48*BD48</f>
        <v>0.92436040495726257</v>
      </c>
      <c r="BF48" s="7">
        <f t="shared" ref="BF48:BF66" si="77">BE48-AX48</f>
        <v>0.12436040495726253</v>
      </c>
      <c r="BG48" s="5">
        <v>0.85</v>
      </c>
      <c r="BH48" s="5">
        <f t="shared" ref="BH48:BH66" si="78">0.27*AW48/BG48/AV48</f>
        <v>0.19271140383665908</v>
      </c>
      <c r="BI48" s="5">
        <f t="shared" ref="BI48:BI66" si="79">($AR$12+$AT$12/AV48+$AV$12/AV48^3+$AX$12/AV48^4+$AZ$12/AV48^5)*BH48</f>
        <v>-8.3221769545860927E-2</v>
      </c>
      <c r="BJ48" s="5">
        <f t="shared" ref="BJ48:BJ66" si="80">($BB$12+$BD$12/AV48+$AR$13/AV48^2)*BH48^2</f>
        <v>6.4070050686693969E-3</v>
      </c>
      <c r="BK48" s="5">
        <f t="shared" ref="BK48:BK66" si="81">$AT$13*($BD$12/AV48+$AR$13/AV48^2)*BH48^5</f>
        <v>-1.0524676022544246E-5</v>
      </c>
      <c r="BL48" s="5">
        <f t="shared" ref="BL48:BL66" si="82">$AV$13*(1+$AX$13*BH48^2)*(BH48^2/AV48^3)</f>
        <v>5.0377662013427089E-3</v>
      </c>
      <c r="BM48" s="5">
        <f t="shared" ref="BM48:BM66" si="83">EXP(-$AX$13*BH48^2)</f>
        <v>0.97357903501753973</v>
      </c>
      <c r="BN48" s="8">
        <f t="shared" ref="BN48:BN66" si="84">1+BI48+BJ48-BK48+(BL48*BM48)</f>
        <v>0.92810042375577828</v>
      </c>
      <c r="BO48" s="9">
        <f t="shared" ref="BO48:BO66" si="85">BN48-BG48</f>
        <v>7.8100423755778303E-2</v>
      </c>
      <c r="BP48" s="10">
        <f t="shared" ref="BP48:BP66" si="86">(BO48-BF48)/(BG48-AX48)</f>
        <v>-0.9251996240296857</v>
      </c>
      <c r="BQ48" s="10">
        <f t="shared" ref="BQ48:BQ66" si="87">AX48-BF48/BP48</f>
        <v>0.93441467303630499</v>
      </c>
    </row>
    <row r="49" spans="2:69">
      <c r="B49">
        <f t="shared" ref="B49:B66" si="88">B48+200</f>
        <v>6600</v>
      </c>
      <c r="C49">
        <f t="shared" si="46"/>
        <v>166.40000000000038</v>
      </c>
      <c r="D49">
        <f t="shared" si="52"/>
        <v>626.40000000000032</v>
      </c>
      <c r="E49">
        <f t="shared" ref="E49:E66" si="89">AVERAGE(D48:D49)</f>
        <v>626.00000000000034</v>
      </c>
      <c r="F49">
        <f t="shared" si="47"/>
        <v>684.7660972225051</v>
      </c>
      <c r="G49">
        <f t="shared" ref="G49:G66" si="90">AVERAGE(F48:F49)</f>
        <v>681.94621407251702</v>
      </c>
      <c r="H49">
        <f t="shared" si="53"/>
        <v>0.93422052166247327</v>
      </c>
      <c r="I49">
        <f t="shared" ref="I49:I66" si="91">AVERAGE(H48:H49)</f>
        <v>0.93431759734938913</v>
      </c>
      <c r="K49">
        <f t="shared" ref="K49:K66" si="92">(-0.0375*$J$16*SIN(90)*200)/(I49*E49)</f>
        <v>-7.4514648341018411E-3</v>
      </c>
      <c r="L49">
        <f t="shared" ref="L49:L66" si="93">AO48</f>
        <v>4.4037469569446919E-3</v>
      </c>
      <c r="M49">
        <f t="shared" si="48"/>
        <v>211304105.88584682</v>
      </c>
      <c r="N49">
        <f t="shared" si="49"/>
        <v>476655.0743360591</v>
      </c>
      <c r="O49">
        <f t="shared" si="50"/>
        <v>690.4021106109534</v>
      </c>
      <c r="Q49" s="2">
        <f t="shared" si="42"/>
        <v>2.0535402901770405</v>
      </c>
      <c r="R49" s="2">
        <f t="shared" si="54"/>
        <v>3.2909299522067961E-2</v>
      </c>
      <c r="W49" s="2">
        <f t="shared" si="55"/>
        <v>151783.6647145068</v>
      </c>
      <c r="X49" s="2">
        <f t="shared" si="43"/>
        <v>1198.2754300000004</v>
      </c>
      <c r="Y49" s="2">
        <f t="shared" si="56"/>
        <v>126.66842773744159</v>
      </c>
      <c r="Z49" s="2">
        <f t="shared" si="44"/>
        <v>5.2127123886781597</v>
      </c>
      <c r="AA49" s="2">
        <f t="shared" si="57"/>
        <v>1.2876927647579774</v>
      </c>
      <c r="AB49" s="2">
        <f t="shared" si="58"/>
        <v>1.0663514730753343</v>
      </c>
      <c r="AC49" s="2">
        <f t="shared" si="59"/>
        <v>1.3507306450995739E-2</v>
      </c>
      <c r="AD49" s="2">
        <f t="shared" si="60"/>
        <v>2222466.8063018634</v>
      </c>
      <c r="AI49">
        <f t="shared" si="61"/>
        <v>2.2700901474407638E-6</v>
      </c>
      <c r="AK49">
        <f t="shared" si="62"/>
        <v>1.1670915733828085E-5</v>
      </c>
      <c r="AL49">
        <f t="shared" si="63"/>
        <v>-3.9759214548399009</v>
      </c>
      <c r="AM49">
        <f t="shared" si="64"/>
        <v>15.068996351341424</v>
      </c>
      <c r="AN49">
        <f t="shared" si="65"/>
        <v>227.07465103674113</v>
      </c>
      <c r="AO49">
        <f t="shared" si="66"/>
        <v>4.4038381009697024E-3</v>
      </c>
      <c r="AQ49" s="3">
        <f t="shared" ref="AQ49:AQ66" si="94">C49</f>
        <v>166.40000000000038</v>
      </c>
      <c r="AR49" s="3">
        <f t="shared" si="67"/>
        <v>626.40000000000032</v>
      </c>
      <c r="AS49">
        <f t="shared" si="51"/>
        <v>684.7660972225051</v>
      </c>
      <c r="AV49" s="3">
        <f t="shared" si="68"/>
        <v>1.6704000000000008</v>
      </c>
      <c r="AW49" s="3">
        <f t="shared" si="69"/>
        <v>1.0205157931780999</v>
      </c>
      <c r="AX49" s="4">
        <v>0.8</v>
      </c>
      <c r="AY49" s="5">
        <f t="shared" si="70"/>
        <v>0.20619257674665264</v>
      </c>
      <c r="AZ49" s="5">
        <f t="shared" si="71"/>
        <v>-8.8780820778842362E-2</v>
      </c>
      <c r="BA49" s="5">
        <f t="shared" si="72"/>
        <v>7.3515340923516088E-3</v>
      </c>
      <c r="BB49" s="5">
        <f t="shared" si="73"/>
        <v>-1.474279322473903E-5</v>
      </c>
      <c r="BC49" s="5">
        <f t="shared" si="74"/>
        <v>5.7668824513800411E-3</v>
      </c>
      <c r="BD49" s="5">
        <f t="shared" si="75"/>
        <v>0.96981146917891181</v>
      </c>
      <c r="BE49" s="6">
        <f t="shared" si="76"/>
        <v>0.92417824484948896</v>
      </c>
      <c r="BF49" s="7">
        <f t="shared" si="77"/>
        <v>0.12417824484948892</v>
      </c>
      <c r="BG49" s="5">
        <v>0.85</v>
      </c>
      <c r="BH49" s="5">
        <f t="shared" si="78"/>
        <v>0.19406360164390837</v>
      </c>
      <c r="BI49" s="5">
        <f t="shared" si="79"/>
        <v>-8.3558419556557517E-2</v>
      </c>
      <c r="BJ49" s="5">
        <f t="shared" si="80"/>
        <v>6.5120855627751276E-3</v>
      </c>
      <c r="BK49" s="5">
        <f t="shared" si="81"/>
        <v>-1.0887673299792833E-5</v>
      </c>
      <c r="BL49" s="5">
        <f t="shared" si="82"/>
        <v>5.0910315638535457E-3</v>
      </c>
      <c r="BM49" s="5">
        <f t="shared" si="83"/>
        <v>0.97321198670915043</v>
      </c>
      <c r="BN49" s="8">
        <f t="shared" si="84"/>
        <v>0.92791920662217442</v>
      </c>
      <c r="BO49" s="9">
        <f t="shared" si="85"/>
        <v>7.7919206622174442E-2</v>
      </c>
      <c r="BP49" s="10">
        <f t="shared" si="86"/>
        <v>-0.92518076454629072</v>
      </c>
      <c r="BQ49" s="10">
        <f t="shared" si="87"/>
        <v>0.93422052166247327</v>
      </c>
    </row>
    <row r="50" spans="2:69">
      <c r="B50">
        <f t="shared" si="88"/>
        <v>6800</v>
      </c>
      <c r="C50">
        <f t="shared" si="46"/>
        <v>167.20000000000039</v>
      </c>
      <c r="D50">
        <f t="shared" si="52"/>
        <v>627.20000000000039</v>
      </c>
      <c r="E50">
        <f t="shared" si="89"/>
        <v>626.80000000000041</v>
      </c>
      <c r="F50">
        <f t="shared" ref="F50:F66" si="95">O49</f>
        <v>690.4021106109534</v>
      </c>
      <c r="G50">
        <f t="shared" si="90"/>
        <v>687.58410391672919</v>
      </c>
      <c r="H50">
        <f t="shared" si="53"/>
        <v>0.93403117708189698</v>
      </c>
      <c r="I50">
        <f t="shared" si="91"/>
        <v>0.93412584937218512</v>
      </c>
      <c r="K50">
        <f t="shared" si="92"/>
        <v>-7.4434819589936927E-3</v>
      </c>
      <c r="L50">
        <f t="shared" si="93"/>
        <v>4.4038381009697024E-3</v>
      </c>
      <c r="M50">
        <f t="shared" si="48"/>
        <v>211761964.24054164</v>
      </c>
      <c r="N50">
        <f t="shared" ref="N50:N66" si="96">EXP(-K50)*(O49)^2-2.685*10^-3*M50*(1-EXP(-K50))</f>
        <v>484464.29710862093</v>
      </c>
      <c r="O50">
        <f t="shared" ref="O50:O66" si="97">SQRT(+N50)</f>
        <v>696.03469533394741</v>
      </c>
      <c r="Q50" s="2">
        <f t="shared" si="42"/>
        <v>2.0682204012951111</v>
      </c>
      <c r="R50" s="2">
        <f t="shared" si="54"/>
        <v>3.3144557713062676E-2</v>
      </c>
      <c r="W50" s="2">
        <f t="shared" si="55"/>
        <v>152074.53083830237</v>
      </c>
      <c r="X50" s="2">
        <f t="shared" si="43"/>
        <v>1199.0754300000003</v>
      </c>
      <c r="Y50" s="2">
        <f t="shared" si="56"/>
        <v>126.82649234027114</v>
      </c>
      <c r="Z50" s="2">
        <f t="shared" si="44"/>
        <v>5.2107038266326517</v>
      </c>
      <c r="AA50" s="2">
        <f t="shared" si="57"/>
        <v>1.2881394689568983</v>
      </c>
      <c r="AB50" s="2">
        <f t="shared" si="58"/>
        <v>1.0668511163522629</v>
      </c>
      <c r="AC50" s="2">
        <f t="shared" si="59"/>
        <v>1.3530498493626E-2</v>
      </c>
      <c r="AD50" s="2">
        <f t="shared" si="60"/>
        <v>2218657.3720123307</v>
      </c>
      <c r="AI50">
        <f t="shared" si="61"/>
        <v>2.2739878917960119E-6</v>
      </c>
      <c r="AK50">
        <f t="shared" si="62"/>
        <v>1.1688911150502208E-5</v>
      </c>
      <c r="AL50">
        <f t="shared" si="63"/>
        <v>-3.9758475231374906</v>
      </c>
      <c r="AM50">
        <f t="shared" si="64"/>
        <v>15.068840544007019</v>
      </c>
      <c r="AN50">
        <f t="shared" si="65"/>
        <v>227.06995534070975</v>
      </c>
      <c r="AO50">
        <f t="shared" si="66"/>
        <v>4.4039291701957594E-3</v>
      </c>
      <c r="AQ50" s="3">
        <f t="shared" si="94"/>
        <v>167.20000000000039</v>
      </c>
      <c r="AR50" s="3">
        <f t="shared" si="67"/>
        <v>627.20000000000039</v>
      </c>
      <c r="AS50">
        <f t="shared" ref="AS50:AS66" si="98">F50</f>
        <v>690.4021106109534</v>
      </c>
      <c r="AV50" s="3">
        <f t="shared" si="68"/>
        <v>1.6725333333333343</v>
      </c>
      <c r="AW50" s="3">
        <f t="shared" si="69"/>
        <v>1.0289152170058917</v>
      </c>
      <c r="AX50" s="4">
        <v>0.8</v>
      </c>
      <c r="AY50" s="5">
        <f t="shared" si="70"/>
        <v>0.20762449322753207</v>
      </c>
      <c r="AZ50" s="5">
        <f t="shared" si="71"/>
        <v>-8.9133718019522939E-2</v>
      </c>
      <c r="BA50" s="5">
        <f t="shared" si="72"/>
        <v>7.4709622152373291E-3</v>
      </c>
      <c r="BB50" s="5">
        <f t="shared" si="73"/>
        <v>-1.5245827173109441E-5</v>
      </c>
      <c r="BC50" s="5">
        <f t="shared" si="74"/>
        <v>5.8273258562122603E-3</v>
      </c>
      <c r="BD50" s="5">
        <f t="shared" si="75"/>
        <v>0.96939722548938867</v>
      </c>
      <c r="BE50" s="6">
        <f t="shared" si="76"/>
        <v>0.92400148353992229</v>
      </c>
      <c r="BF50" s="7">
        <f t="shared" si="77"/>
        <v>0.12400148353992224</v>
      </c>
      <c r="BG50" s="5">
        <v>0.85</v>
      </c>
      <c r="BH50" s="5">
        <f t="shared" si="78"/>
        <v>0.19541128774355959</v>
      </c>
      <c r="BI50" s="5">
        <f t="shared" si="79"/>
        <v>-8.3890558136021587E-2</v>
      </c>
      <c r="BJ50" s="5">
        <f t="shared" si="80"/>
        <v>6.6178765643624786E-3</v>
      </c>
      <c r="BK50" s="5">
        <f t="shared" si="81"/>
        <v>-1.1259167982318221E-5</v>
      </c>
      <c r="BL50" s="5">
        <f t="shared" si="82"/>
        <v>5.1441543277531056E-3</v>
      </c>
      <c r="BM50" s="5">
        <f t="shared" si="83"/>
        <v>0.97284374858473477</v>
      </c>
      <c r="BN50" s="8">
        <f t="shared" si="84"/>
        <v>0.92774303597583285</v>
      </c>
      <c r="BO50" s="9">
        <f t="shared" si="85"/>
        <v>7.7743035975832875E-2</v>
      </c>
      <c r="BP50" s="10">
        <f t="shared" si="86"/>
        <v>-0.92516895128178855</v>
      </c>
      <c r="BQ50" s="10">
        <f t="shared" si="87"/>
        <v>0.93403117708189698</v>
      </c>
    </row>
    <row r="51" spans="2:69">
      <c r="B51">
        <f t="shared" si="88"/>
        <v>7000</v>
      </c>
      <c r="C51">
        <f t="shared" si="46"/>
        <v>168.0000000000004</v>
      </c>
      <c r="D51">
        <f t="shared" si="52"/>
        <v>628.00000000000045</v>
      </c>
      <c r="E51">
        <f t="shared" si="89"/>
        <v>627.60000000000036</v>
      </c>
      <c r="F51">
        <f t="shared" si="95"/>
        <v>696.03469533394741</v>
      </c>
      <c r="G51">
        <f t="shared" si="90"/>
        <v>693.21840297245035</v>
      </c>
      <c r="H51">
        <f t="shared" si="53"/>
        <v>0.93384657216758671</v>
      </c>
      <c r="I51">
        <f t="shared" si="91"/>
        <v>0.9339388746247419</v>
      </c>
      <c r="K51">
        <f t="shared" si="92"/>
        <v>-7.4354820599640322E-3</v>
      </c>
      <c r="L51">
        <f t="shared" si="93"/>
        <v>4.4039291701957594E-3</v>
      </c>
      <c r="M51">
        <f t="shared" si="48"/>
        <v>212222270.96753201</v>
      </c>
      <c r="N51">
        <f t="shared" si="96"/>
        <v>492332.6013407649</v>
      </c>
      <c r="O51">
        <f t="shared" si="97"/>
        <v>701.66416563820962</v>
      </c>
      <c r="Q51" s="2">
        <f t="shared" si="42"/>
        <v>2.0828492855795506</v>
      </c>
      <c r="R51" s="2">
        <f t="shared" si="54"/>
        <v>3.3378994961210745E-2</v>
      </c>
      <c r="W51" s="2">
        <f t="shared" si="55"/>
        <v>152365.58252265508</v>
      </c>
      <c r="X51" s="2">
        <f t="shared" si="43"/>
        <v>1199.8754300000005</v>
      </c>
      <c r="Y51" s="2">
        <f t="shared" si="56"/>
        <v>126.98450081826829</v>
      </c>
      <c r="Z51" s="2">
        <f t="shared" si="44"/>
        <v>5.2087003819426734</v>
      </c>
      <c r="AA51" s="2">
        <f t="shared" si="57"/>
        <v>1.2885850350559496</v>
      </c>
      <c r="AB51" s="2">
        <f t="shared" si="58"/>
        <v>1.0673486880835701</v>
      </c>
      <c r="AC51" s="2">
        <f t="shared" si="59"/>
        <v>1.355367403553257E-2</v>
      </c>
      <c r="AD51" s="2">
        <f t="shared" si="60"/>
        <v>2214863.6710005905</v>
      </c>
      <c r="AI51">
        <f t="shared" si="61"/>
        <v>2.2778828629758384E-6</v>
      </c>
      <c r="AK51">
        <f t="shared" si="62"/>
        <v>1.170689062426144E-5</v>
      </c>
      <c r="AL51">
        <f t="shared" si="63"/>
        <v>-3.9757736695011943</v>
      </c>
      <c r="AM51">
        <f t="shared" si="64"/>
        <v>15.068684866746366</v>
      </c>
      <c r="AN51">
        <f t="shared" si="65"/>
        <v>227.06526361331095</v>
      </c>
      <c r="AO51">
        <f t="shared" si="66"/>
        <v>4.4040201662152358E-3</v>
      </c>
      <c r="AQ51" s="3">
        <f t="shared" si="94"/>
        <v>168.0000000000004</v>
      </c>
      <c r="AR51" s="3">
        <f t="shared" si="67"/>
        <v>628.00000000000045</v>
      </c>
      <c r="AS51">
        <f t="shared" si="98"/>
        <v>696.03469533394741</v>
      </c>
      <c r="AV51" s="3">
        <f t="shared" si="68"/>
        <v>1.6746666666666679</v>
      </c>
      <c r="AW51" s="3">
        <f t="shared" si="69"/>
        <v>1.0373095310491021</v>
      </c>
      <c r="AX51" s="4">
        <v>0.8</v>
      </c>
      <c r="AY51" s="5">
        <f t="shared" si="70"/>
        <v>0.20905173172516223</v>
      </c>
      <c r="AZ51" s="5">
        <f t="shared" si="71"/>
        <v>-8.9481903905341234E-2</v>
      </c>
      <c r="BA51" s="5">
        <f t="shared" si="72"/>
        <v>7.5911948983209462E-3</v>
      </c>
      <c r="BB51" s="5">
        <f t="shared" si="73"/>
        <v>-1.5760528212892742E-5</v>
      </c>
      <c r="BC51" s="5">
        <f t="shared" si="74"/>
        <v>5.8876156918717072E-3</v>
      </c>
      <c r="BD51" s="5">
        <f t="shared" si="75"/>
        <v>0.96898166025744314</v>
      </c>
      <c r="BE51" s="6">
        <f t="shared" si="76"/>
        <v>0.92383004314926009</v>
      </c>
      <c r="BF51" s="7">
        <f t="shared" si="77"/>
        <v>0.12383004314926005</v>
      </c>
      <c r="BG51" s="5">
        <v>0.85</v>
      </c>
      <c r="BH51" s="5">
        <f t="shared" si="78"/>
        <v>0.19675457103544683</v>
      </c>
      <c r="BI51" s="5">
        <f t="shared" si="79"/>
        <v>-8.42182624991447E-2</v>
      </c>
      <c r="BJ51" s="5">
        <f t="shared" si="80"/>
        <v>6.72438025595212E-3</v>
      </c>
      <c r="BK51" s="5">
        <f t="shared" si="81"/>
        <v>-1.1639278907215465E-5</v>
      </c>
      <c r="BL51" s="5">
        <f t="shared" si="82"/>
        <v>5.1971359495330965E-3</v>
      </c>
      <c r="BM51" s="5">
        <f t="shared" si="83"/>
        <v>0.97247431763282288</v>
      </c>
      <c r="BN51" s="8">
        <f t="shared" si="84"/>
        <v>0.92757183827188194</v>
      </c>
      <c r="BO51" s="9">
        <f t="shared" si="85"/>
        <v>7.7571838271881965E-2</v>
      </c>
      <c r="BP51" s="10">
        <f t="shared" si="86"/>
        <v>-0.9251640975475629</v>
      </c>
      <c r="BQ51" s="10">
        <f t="shared" si="87"/>
        <v>0.93384657216758671</v>
      </c>
    </row>
    <row r="52" spans="2:69">
      <c r="B52">
        <f t="shared" si="88"/>
        <v>7200</v>
      </c>
      <c r="C52">
        <f t="shared" si="46"/>
        <v>168.80000000000041</v>
      </c>
      <c r="D52">
        <f t="shared" si="52"/>
        <v>628.80000000000041</v>
      </c>
      <c r="E52">
        <f t="shared" si="89"/>
        <v>628.40000000000043</v>
      </c>
      <c r="F52">
        <f t="shared" si="95"/>
        <v>701.66416563820962</v>
      </c>
      <c r="G52">
        <f t="shared" si="90"/>
        <v>698.84943048607852</v>
      </c>
      <c r="H52">
        <f t="shared" si="53"/>
        <v>0.93366664162106228</v>
      </c>
      <c r="I52">
        <f t="shared" si="91"/>
        <v>0.93375660689432449</v>
      </c>
      <c r="K52">
        <f t="shared" si="92"/>
        <v>-7.4274656834948322E-3</v>
      </c>
      <c r="L52">
        <f t="shared" si="93"/>
        <v>4.4040201662152358E-3</v>
      </c>
      <c r="M52">
        <f t="shared" si="48"/>
        <v>212685010.69118455</v>
      </c>
      <c r="N52">
        <f t="shared" si="96"/>
        <v>500260.31280886941</v>
      </c>
      <c r="O52">
        <f t="shared" si="97"/>
        <v>707.29082618741029</v>
      </c>
      <c r="Q52" s="2">
        <f t="shared" si="42"/>
        <v>2.0974279538281828</v>
      </c>
      <c r="R52" s="2">
        <f t="shared" si="54"/>
        <v>3.3612627465195236E-2</v>
      </c>
      <c r="W52" s="2">
        <f t="shared" si="55"/>
        <v>152656.81964933543</v>
      </c>
      <c r="X52" s="2">
        <f t="shared" si="43"/>
        <v>1200.6754300000005</v>
      </c>
      <c r="Y52" s="2">
        <f t="shared" si="56"/>
        <v>127.14245318515044</v>
      </c>
      <c r="Z52" s="2">
        <f t="shared" si="44"/>
        <v>5.2067020350763347</v>
      </c>
      <c r="AA52" s="2">
        <f t="shared" si="57"/>
        <v>1.2890294673990232</v>
      </c>
      <c r="AB52" s="2">
        <f t="shared" si="58"/>
        <v>1.0678442270851249</v>
      </c>
      <c r="AC52" s="2">
        <f t="shared" si="59"/>
        <v>1.3576833465120366E-2</v>
      </c>
      <c r="AD52" s="2">
        <f t="shared" si="60"/>
        <v>2211085.5456102421</v>
      </c>
      <c r="AI52">
        <f t="shared" si="61"/>
        <v>2.2817751262570733E-6</v>
      </c>
      <c r="AK52">
        <f t="shared" si="62"/>
        <v>1.1724854468959648E-5</v>
      </c>
      <c r="AL52">
        <f t="shared" si="63"/>
        <v>-3.9756998926044531</v>
      </c>
      <c r="AM52">
        <f t="shared" si="64"/>
        <v>15.068529316903758</v>
      </c>
      <c r="AN52">
        <f t="shared" si="65"/>
        <v>227.06057577438804</v>
      </c>
      <c r="AO52">
        <f t="shared" si="66"/>
        <v>4.4041110905735578E-3</v>
      </c>
      <c r="AQ52" s="3">
        <f t="shared" si="94"/>
        <v>168.80000000000041</v>
      </c>
      <c r="AR52" s="3">
        <f t="shared" si="67"/>
        <v>628.80000000000041</v>
      </c>
      <c r="AS52">
        <f t="shared" si="98"/>
        <v>701.66416563820962</v>
      </c>
      <c r="AV52" s="3">
        <f t="shared" si="68"/>
        <v>1.6768000000000012</v>
      </c>
      <c r="AW52" s="3">
        <f t="shared" si="69"/>
        <v>1.0456992036336954</v>
      </c>
      <c r="AX52" s="4">
        <v>0.8</v>
      </c>
      <c r="AY52" s="5">
        <f t="shared" si="70"/>
        <v>0.21047440435733059</v>
      </c>
      <c r="AZ52" s="5">
        <f t="shared" si="71"/>
        <v>-8.9825458134461217E-2</v>
      </c>
      <c r="BA52" s="5">
        <f t="shared" si="72"/>
        <v>7.7122346018141091E-3</v>
      </c>
      <c r="BB52" s="5">
        <f t="shared" si="73"/>
        <v>-1.6287058576714122E-5</v>
      </c>
      <c r="BC52" s="5">
        <f t="shared" si="74"/>
        <v>5.9477535901783013E-3</v>
      </c>
      <c r="BD52" s="5">
        <f t="shared" si="75"/>
        <v>0.96856477035112964</v>
      </c>
      <c r="BE52" s="6">
        <f t="shared" si="76"/>
        <v>0.9236638481161058</v>
      </c>
      <c r="BF52" s="7">
        <f t="shared" si="77"/>
        <v>0.12366384811610576</v>
      </c>
      <c r="BG52" s="5">
        <v>0.85</v>
      </c>
      <c r="BH52" s="5">
        <f t="shared" si="78"/>
        <v>0.1980935570421935</v>
      </c>
      <c r="BI52" s="5">
        <f t="shared" si="79"/>
        <v>-8.4541607655963497E-2</v>
      </c>
      <c r="BJ52" s="5">
        <f t="shared" si="80"/>
        <v>6.8315988168318759E-3</v>
      </c>
      <c r="BK52" s="5">
        <f t="shared" si="81"/>
        <v>-1.2028125884604284E-5</v>
      </c>
      <c r="BL52" s="5">
        <f t="shared" si="82"/>
        <v>5.249977866885633E-3</v>
      </c>
      <c r="BM52" s="5">
        <f t="shared" si="83"/>
        <v>0.97210369088775705</v>
      </c>
      <c r="BN52" s="8">
        <f t="shared" si="84"/>
        <v>0.92740554214823157</v>
      </c>
      <c r="BO52" s="9">
        <f t="shared" si="85"/>
        <v>7.7405542148231588E-2</v>
      </c>
      <c r="BP52" s="10">
        <f t="shared" si="86"/>
        <v>-0.92516611935748461</v>
      </c>
      <c r="BQ52" s="10">
        <f t="shared" si="87"/>
        <v>0.93366664162106228</v>
      </c>
    </row>
    <row r="53" spans="2:69">
      <c r="B53">
        <f t="shared" si="88"/>
        <v>7400</v>
      </c>
      <c r="C53">
        <f t="shared" si="46"/>
        <v>169.60000000000042</v>
      </c>
      <c r="D53">
        <f t="shared" si="52"/>
        <v>629.60000000000036</v>
      </c>
      <c r="E53">
        <f t="shared" si="89"/>
        <v>629.20000000000039</v>
      </c>
      <c r="F53">
        <f t="shared" si="95"/>
        <v>707.29082618741029</v>
      </c>
      <c r="G53">
        <f t="shared" si="90"/>
        <v>704.4774959128099</v>
      </c>
      <c r="H53">
        <f t="shared" si="53"/>
        <v>0.93349132190042572</v>
      </c>
      <c r="I53">
        <f t="shared" si="91"/>
        <v>0.93357898176074405</v>
      </c>
      <c r="K53">
        <f t="shared" si="92"/>
        <v>-7.4194333609524567E-3</v>
      </c>
      <c r="L53">
        <f t="shared" si="93"/>
        <v>4.4041110905735578E-3</v>
      </c>
      <c r="M53">
        <f t="shared" si="48"/>
        <v>213150168.62962082</v>
      </c>
      <c r="N53">
        <f t="shared" si="96"/>
        <v>508247.75795271696</v>
      </c>
      <c r="O53">
        <f t="shared" si="97"/>
        <v>712.91497245654546</v>
      </c>
      <c r="Q53" s="2">
        <f t="shared" si="42"/>
        <v>2.1119573849546098</v>
      </c>
      <c r="R53" s="2">
        <f t="shared" si="54"/>
        <v>3.3845470912734134E-2</v>
      </c>
      <c r="W53" s="2">
        <f t="shared" si="55"/>
        <v>152948.24210034031</v>
      </c>
      <c r="X53" s="2">
        <f t="shared" si="43"/>
        <v>1201.4754300000004</v>
      </c>
      <c r="Y53" s="2">
        <f t="shared" si="56"/>
        <v>127.30034945478683</v>
      </c>
      <c r="Z53" s="2">
        <f t="shared" si="44"/>
        <v>5.2047087666010157</v>
      </c>
      <c r="AA53" s="2">
        <f t="shared" si="57"/>
        <v>1.2894727703079343</v>
      </c>
      <c r="AB53" s="2">
        <f t="shared" si="58"/>
        <v>1.0683377710818589</v>
      </c>
      <c r="AC53" s="2">
        <f t="shared" si="59"/>
        <v>1.359997715944687E-2</v>
      </c>
      <c r="AD53" s="2">
        <f t="shared" si="60"/>
        <v>2207322.8416440957</v>
      </c>
      <c r="AI53">
        <f t="shared" si="61"/>
        <v>2.2856647450094562E-6</v>
      </c>
      <c r="AK53">
        <f t="shared" si="62"/>
        <v>1.1742802989390931E-5</v>
      </c>
      <c r="AL53">
        <f t="shared" si="63"/>
        <v>-3.975626191158836</v>
      </c>
      <c r="AM53">
        <f t="shared" si="64"/>
        <v>15.068373891901034</v>
      </c>
      <c r="AN53">
        <f t="shared" si="65"/>
        <v>227.05589174612473</v>
      </c>
      <c r="AO53">
        <f t="shared" si="66"/>
        <v>4.4042019447710166E-3</v>
      </c>
      <c r="AQ53" s="3">
        <f t="shared" si="94"/>
        <v>169.60000000000042</v>
      </c>
      <c r="AR53" s="3">
        <f t="shared" si="67"/>
        <v>629.60000000000036</v>
      </c>
      <c r="AS53">
        <f t="shared" si="98"/>
        <v>707.29082618741029</v>
      </c>
      <c r="AV53" s="3">
        <f t="shared" si="68"/>
        <v>1.6789333333333343</v>
      </c>
      <c r="AW53" s="3">
        <f t="shared" si="69"/>
        <v>1.0540846888038902</v>
      </c>
      <c r="AX53" s="4">
        <v>0.8</v>
      </c>
      <c r="AY53" s="5">
        <f t="shared" si="70"/>
        <v>0.2118926198010519</v>
      </c>
      <c r="AZ53" s="5">
        <f t="shared" si="71"/>
        <v>-9.0164458154767965E-2</v>
      </c>
      <c r="BA53" s="5">
        <f t="shared" si="72"/>
        <v>7.8340837823027507E-3</v>
      </c>
      <c r="BB53" s="5">
        <f t="shared" si="73"/>
        <v>-1.6825581823803955E-5</v>
      </c>
      <c r="BC53" s="5">
        <f t="shared" si="74"/>
        <v>6.0077411622341467E-3</v>
      </c>
      <c r="BD53" s="5">
        <f t="shared" si="75"/>
        <v>0.96814655269078387</v>
      </c>
      <c r="BE53" s="6">
        <f t="shared" si="76"/>
        <v>0.92350282510503412</v>
      </c>
      <c r="BF53" s="7">
        <f t="shared" si="77"/>
        <v>0.12350282510503408</v>
      </c>
      <c r="BG53" s="5">
        <v>0.85</v>
      </c>
      <c r="BH53" s="5">
        <f t="shared" si="78"/>
        <v>0.19942834804804888</v>
      </c>
      <c r="BI53" s="5">
        <f t="shared" si="79"/>
        <v>-8.4860666498605158E-2</v>
      </c>
      <c r="BJ53" s="5">
        <f t="shared" si="80"/>
        <v>6.939534423077872E-3</v>
      </c>
      <c r="BK53" s="5">
        <f t="shared" si="81"/>
        <v>-1.242582970431323E-5</v>
      </c>
      <c r="BL53" s="5">
        <f t="shared" si="82"/>
        <v>5.302681499049079E-3</v>
      </c>
      <c r="BM53" s="5">
        <f t="shared" si="83"/>
        <v>0.97173186542909085</v>
      </c>
      <c r="BN53" s="8">
        <f t="shared" si="84"/>
        <v>0.92724407833902422</v>
      </c>
      <c r="BO53" s="9">
        <f t="shared" si="85"/>
        <v>7.7244078339024247E-2</v>
      </c>
      <c r="BP53" s="10">
        <f t="shared" si="86"/>
        <v>-0.92517493532019779</v>
      </c>
      <c r="BQ53" s="10">
        <f t="shared" si="87"/>
        <v>0.93349132190042572</v>
      </c>
    </row>
    <row r="54" spans="2:69">
      <c r="B54">
        <f t="shared" si="88"/>
        <v>7600</v>
      </c>
      <c r="C54">
        <f t="shared" si="46"/>
        <v>170.40000000000043</v>
      </c>
      <c r="D54">
        <f t="shared" si="52"/>
        <v>630.40000000000043</v>
      </c>
      <c r="E54">
        <f t="shared" si="89"/>
        <v>630.00000000000045</v>
      </c>
      <c r="F54">
        <f t="shared" si="95"/>
        <v>712.91497245654546</v>
      </c>
      <c r="G54">
        <f t="shared" si="90"/>
        <v>710.10289932197793</v>
      </c>
      <c r="H54">
        <f t="shared" si="53"/>
        <v>0.93332055115203483</v>
      </c>
      <c r="I54">
        <f t="shared" si="91"/>
        <v>0.93340593652623027</v>
      </c>
      <c r="K54">
        <f t="shared" si="92"/>
        <v>-7.4113856091658778E-3</v>
      </c>
      <c r="L54">
        <f t="shared" si="93"/>
        <v>4.4042019447710166E-3</v>
      </c>
      <c r="M54">
        <f t="shared" si="48"/>
        <v>213617730.57058898</v>
      </c>
      <c r="N54">
        <f t="shared" si="96"/>
        <v>516295.26387996098</v>
      </c>
      <c r="O54">
        <f t="shared" si="97"/>
        <v>718.53689110578102</v>
      </c>
      <c r="Q54" s="2">
        <f t="shared" si="42"/>
        <v>2.1264385272873612</v>
      </c>
      <c r="R54" s="2">
        <f t="shared" si="54"/>
        <v>3.4077540501400022E-2</v>
      </c>
      <c r="W54" s="2">
        <f t="shared" si="55"/>
        <v>153239.84975789121</v>
      </c>
      <c r="X54" s="2">
        <f t="shared" si="43"/>
        <v>1202.2754300000006</v>
      </c>
      <c r="Y54" s="2">
        <f t="shared" si="56"/>
        <v>127.45818964119655</v>
      </c>
      <c r="Z54" s="2">
        <f t="shared" si="44"/>
        <v>5.2027205571827402</v>
      </c>
      <c r="AA54" s="2">
        <f t="shared" si="57"/>
        <v>1.2899149480825587</v>
      </c>
      <c r="AB54" s="2">
        <f t="shared" si="58"/>
        <v>1.0688293567487355</v>
      </c>
      <c r="AC54" s="2">
        <f t="shared" si="59"/>
        <v>1.3623105484655847E-2</v>
      </c>
      <c r="AD54" s="2">
        <f t="shared" si="60"/>
        <v>2203575.4082427872</v>
      </c>
      <c r="AI54">
        <f t="shared" si="61"/>
        <v>2.2895517807685236E-6</v>
      </c>
      <c r="AK54">
        <f t="shared" si="62"/>
        <v>1.1760736481635244E-5</v>
      </c>
      <c r="AL54">
        <f t="shared" si="63"/>
        <v>-3.9755525639125882</v>
      </c>
      <c r="AM54">
        <f t="shared" si="64"/>
        <v>15.068218589234617</v>
      </c>
      <c r="AN54">
        <f t="shared" si="65"/>
        <v>227.05121145295567</v>
      </c>
      <c r="AO54">
        <f t="shared" si="66"/>
        <v>4.4042927302644979E-3</v>
      </c>
      <c r="AQ54" s="3">
        <f t="shared" si="94"/>
        <v>170.40000000000043</v>
      </c>
      <c r="AR54" s="3">
        <f t="shared" si="67"/>
        <v>630.40000000000043</v>
      </c>
      <c r="AS54">
        <f t="shared" si="98"/>
        <v>712.91497245654546</v>
      </c>
      <c r="AV54" s="3">
        <f t="shared" si="68"/>
        <v>1.6810666666666678</v>
      </c>
      <c r="AW54" s="3">
        <f t="shared" si="69"/>
        <v>1.0624664269099038</v>
      </c>
      <c r="AX54" s="4">
        <v>0.8</v>
      </c>
      <c r="AY54" s="5">
        <f t="shared" si="70"/>
        <v>0.21330648343239944</v>
      </c>
      <c r="AZ54" s="5">
        <f t="shared" si="71"/>
        <v>-9.0498979251570702E-2</v>
      </c>
      <c r="BA54" s="5">
        <f t="shared" si="72"/>
        <v>7.956744892767053E-3</v>
      </c>
      <c r="BB54" s="5">
        <f t="shared" si="73"/>
        <v>-1.7376262848948334E-5</v>
      </c>
      <c r="BC54" s="5">
        <f t="shared" si="74"/>
        <v>6.067579998799524E-3</v>
      </c>
      <c r="BD54" s="5">
        <f t="shared" si="75"/>
        <v>0.96772700424837144</v>
      </c>
      <c r="BE54" s="6">
        <f t="shared" si="76"/>
        <v>0.92334690291932098</v>
      </c>
      <c r="BF54" s="7">
        <f t="shared" si="77"/>
        <v>0.12334690291932093</v>
      </c>
      <c r="BG54" s="5">
        <v>0.85</v>
      </c>
      <c r="BH54" s="5">
        <f t="shared" si="78"/>
        <v>0.20075904323049362</v>
      </c>
      <c r="BI54" s="5">
        <f t="shared" si="79"/>
        <v>-8.5175509883831269E-2</v>
      </c>
      <c r="BJ54" s="5">
        <f t="shared" si="80"/>
        <v>7.0481892475722022E-3</v>
      </c>
      <c r="BK54" s="5">
        <f t="shared" si="81"/>
        <v>-1.2832512142489604E-5</v>
      </c>
      <c r="BL54" s="5">
        <f t="shared" si="82"/>
        <v>5.3552482471438713E-3</v>
      </c>
      <c r="BM54" s="5">
        <f t="shared" si="83"/>
        <v>0.97135883838101522</v>
      </c>
      <c r="BN54" s="8">
        <f t="shared" si="84"/>
        <v>0.92708737959247101</v>
      </c>
      <c r="BO54" s="9">
        <f t="shared" si="85"/>
        <v>7.7087379592471028E-2</v>
      </c>
      <c r="BP54" s="10">
        <f t="shared" si="86"/>
        <v>-0.92519046653699932</v>
      </c>
      <c r="BQ54" s="10">
        <f t="shared" si="87"/>
        <v>0.93332055115203483</v>
      </c>
    </row>
    <row r="55" spans="2:69">
      <c r="B55">
        <f t="shared" si="88"/>
        <v>7800</v>
      </c>
      <c r="C55">
        <f t="shared" si="46"/>
        <v>171.20000000000044</v>
      </c>
      <c r="D55">
        <f t="shared" si="52"/>
        <v>631.2000000000005</v>
      </c>
      <c r="E55">
        <f t="shared" si="89"/>
        <v>630.80000000000041</v>
      </c>
      <c r="F55">
        <f t="shared" si="95"/>
        <v>718.53689110578102</v>
      </c>
      <c r="G55">
        <f t="shared" si="90"/>
        <v>715.72593178116324</v>
      </c>
      <c r="H55">
        <f t="shared" si="53"/>
        <v>0.93315426914557342</v>
      </c>
      <c r="I55">
        <f t="shared" si="91"/>
        <v>0.93323741014880413</v>
      </c>
      <c r="K55">
        <f t="shared" si="92"/>
        <v>-7.403322930976476E-3</v>
      </c>
      <c r="L55">
        <f t="shared" si="93"/>
        <v>4.4042927302644979E-3</v>
      </c>
      <c r="M55">
        <f t="shared" si="48"/>
        <v>214087682.84856874</v>
      </c>
      <c r="N55">
        <f t="shared" si="96"/>
        <v>524403.15837031254</v>
      </c>
      <c r="O55">
        <f t="shared" si="97"/>
        <v>724.15686033504687</v>
      </c>
      <c r="Q55" s="2">
        <f t="shared" si="42"/>
        <v>2.1408722998022478</v>
      </c>
      <c r="R55" s="2">
        <f t="shared" si="54"/>
        <v>3.4308850958369358E-2</v>
      </c>
      <c r="W55" s="2">
        <f t="shared" si="55"/>
        <v>153531.64250443343</v>
      </c>
      <c r="X55" s="2">
        <f t="shared" si="43"/>
        <v>1203.0754300000006</v>
      </c>
      <c r="Y55" s="2">
        <f t="shared" si="56"/>
        <v>127.6159737585476</v>
      </c>
      <c r="Z55" s="2">
        <f t="shared" si="44"/>
        <v>5.2007373875855496</v>
      </c>
      <c r="AA55" s="2">
        <f t="shared" si="57"/>
        <v>1.2903560050009739</v>
      </c>
      <c r="AB55" s="2">
        <f t="shared" si="58"/>
        <v>1.0693190197497191</v>
      </c>
      <c r="AC55" s="2">
        <f t="shared" si="59"/>
        <v>1.36462187963896E-2</v>
      </c>
      <c r="AD55" s="2">
        <f t="shared" si="60"/>
        <v>2199843.0977691323</v>
      </c>
      <c r="AI55">
        <f t="shared" si="61"/>
        <v>2.2934362933048969E-6</v>
      </c>
      <c r="AK55">
        <f t="shared" si="62"/>
        <v>1.177865523338675E-5</v>
      </c>
      <c r="AL55">
        <f t="shared" si="63"/>
        <v>-3.9754790096492472</v>
      </c>
      <c r="AM55">
        <f t="shared" si="64"/>
        <v>15.068063406472698</v>
      </c>
      <c r="AN55">
        <f t="shared" si="65"/>
        <v>227.0465348214816</v>
      </c>
      <c r="AO55">
        <f t="shared" si="66"/>
        <v>4.4043834484691147E-3</v>
      </c>
      <c r="AQ55" s="3">
        <f t="shared" si="94"/>
        <v>171.20000000000044</v>
      </c>
      <c r="AR55" s="3">
        <f t="shared" si="67"/>
        <v>631.2000000000005</v>
      </c>
      <c r="AS55">
        <f t="shared" si="98"/>
        <v>718.53689110578102</v>
      </c>
      <c r="AV55" s="3">
        <f t="shared" si="68"/>
        <v>1.6832000000000014</v>
      </c>
      <c r="AW55" s="3">
        <f t="shared" si="69"/>
        <v>1.0708448451650985</v>
      </c>
      <c r="AX55" s="4">
        <v>0.8</v>
      </c>
      <c r="AY55" s="5">
        <f t="shared" si="70"/>
        <v>0.21471609745913761</v>
      </c>
      <c r="AZ55" s="5">
        <f t="shared" si="71"/>
        <v>-9.0829094630918553E-2</v>
      </c>
      <c r="BA55" s="5">
        <f t="shared" si="72"/>
        <v>8.0802203825977616E-3</v>
      </c>
      <c r="BB55" s="5">
        <f t="shared" si="73"/>
        <v>-1.7939267891343032E-5</v>
      </c>
      <c r="BC55" s="5">
        <f t="shared" si="74"/>
        <v>6.1272716706582469E-3</v>
      </c>
      <c r="BD55" s="5">
        <f t="shared" si="75"/>
        <v>0.96730612204686228</v>
      </c>
      <c r="BE55" s="6">
        <f t="shared" si="76"/>
        <v>0.92319601241804261</v>
      </c>
      <c r="BF55" s="7">
        <f t="shared" si="77"/>
        <v>0.12319601241804257</v>
      </c>
      <c r="BG55" s="5">
        <v>0.85</v>
      </c>
      <c r="BH55" s="5">
        <f t="shared" si="78"/>
        <v>0.20208573878507075</v>
      </c>
      <c r="BI55" s="5">
        <f t="shared" si="79"/>
        <v>-8.5486206711452781E-2</v>
      </c>
      <c r="BJ55" s="5">
        <f t="shared" si="80"/>
        <v>7.1575654600173986E-3</v>
      </c>
      <c r="BK55" s="5">
        <f t="shared" si="81"/>
        <v>-1.3248295968138296E-5</v>
      </c>
      <c r="BL55" s="5">
        <f t="shared" si="82"/>
        <v>5.4076794944988658E-3</v>
      </c>
      <c r="BM55" s="5">
        <f t="shared" si="83"/>
        <v>0.97098460691180666</v>
      </c>
      <c r="BN55" s="8">
        <f t="shared" si="84"/>
        <v>0.92693538059280378</v>
      </c>
      <c r="BO55" s="9">
        <f t="shared" si="85"/>
        <v>7.6935380592803804E-2</v>
      </c>
      <c r="BP55" s="10">
        <f t="shared" si="86"/>
        <v>-0.92521263650477648</v>
      </c>
      <c r="BQ55" s="10">
        <f t="shared" si="87"/>
        <v>0.93315426914557342</v>
      </c>
    </row>
    <row r="56" spans="2:69">
      <c r="B56">
        <f t="shared" si="88"/>
        <v>8000</v>
      </c>
      <c r="C56">
        <f t="shared" si="46"/>
        <v>172.00000000000045</v>
      </c>
      <c r="D56">
        <f t="shared" si="52"/>
        <v>632.00000000000045</v>
      </c>
      <c r="E56">
        <f t="shared" si="89"/>
        <v>631.60000000000048</v>
      </c>
      <c r="F56">
        <f t="shared" si="95"/>
        <v>724.15686033504687</v>
      </c>
      <c r="G56">
        <f t="shared" si="90"/>
        <v>721.34687572041389</v>
      </c>
      <c r="H56">
        <f t="shared" si="53"/>
        <v>0.9329924172123083</v>
      </c>
      <c r="I56">
        <f t="shared" si="91"/>
        <v>0.93307334317894086</v>
      </c>
      <c r="K56">
        <f t="shared" si="92"/>
        <v>-7.3952458157610489E-3</v>
      </c>
      <c r="L56">
        <f t="shared" si="93"/>
        <v>4.4043834484691147E-3</v>
      </c>
      <c r="M56">
        <f t="shared" si="48"/>
        <v>214560012.32303417</v>
      </c>
      <c r="N56">
        <f t="shared" si="96"/>
        <v>532571.76987945801</v>
      </c>
      <c r="O56">
        <f t="shared" si="97"/>
        <v>729.77515022057173</v>
      </c>
      <c r="Q56" s="2">
        <f t="shared" si="42"/>
        <v>2.1552595932920702</v>
      </c>
      <c r="R56" s="2">
        <f t="shared" si="54"/>
        <v>3.4539416559167792E-2</v>
      </c>
      <c r="W56" s="2">
        <f t="shared" si="55"/>
        <v>153823.62022263711</v>
      </c>
      <c r="X56" s="2">
        <f t="shared" si="43"/>
        <v>1203.8754300000005</v>
      </c>
      <c r="Y56" s="2">
        <f t="shared" si="56"/>
        <v>127.77370182115691</v>
      </c>
      <c r="Z56" s="2">
        <f t="shared" si="44"/>
        <v>5.1987592386708847</v>
      </c>
      <c r="AA56" s="2">
        <f t="shared" si="57"/>
        <v>1.2907959453195954</v>
      </c>
      <c r="AB56" s="2">
        <f t="shared" si="58"/>
        <v>1.0698067947748686</v>
      </c>
      <c r="AC56" s="2">
        <f t="shared" si="59"/>
        <v>1.3669317440181166E-2</v>
      </c>
      <c r="AD56" s="2">
        <f t="shared" si="60"/>
        <v>2196125.7656978657</v>
      </c>
      <c r="AI56">
        <f t="shared" si="61"/>
        <v>2.297318340690193E-6</v>
      </c>
      <c r="AK56">
        <f t="shared" si="62"/>
        <v>1.1796559524266553E-5</v>
      </c>
      <c r="AL56">
        <f t="shared" si="63"/>
        <v>-3.9754055271863309</v>
      </c>
      <c r="AM56">
        <f t="shared" si="64"/>
        <v>15.067908341252554</v>
      </c>
      <c r="AN56">
        <f t="shared" si="65"/>
        <v>227.0418617803883</v>
      </c>
      <c r="AO56">
        <f t="shared" si="66"/>
        <v>4.4044741007597714E-3</v>
      </c>
      <c r="AQ56" s="3">
        <f t="shared" si="94"/>
        <v>172.00000000000045</v>
      </c>
      <c r="AR56" s="3">
        <f t="shared" si="67"/>
        <v>632.00000000000045</v>
      </c>
      <c r="AS56">
        <f t="shared" si="98"/>
        <v>724.15686033504687</v>
      </c>
      <c r="AV56" s="3">
        <f t="shared" si="68"/>
        <v>1.6853333333333345</v>
      </c>
      <c r="AW56" s="3">
        <f t="shared" si="69"/>
        <v>1.0792203581744364</v>
      </c>
      <c r="AX56" s="4">
        <v>0.8</v>
      </c>
      <c r="AY56" s="5">
        <f t="shared" si="70"/>
        <v>0.2161215610466013</v>
      </c>
      <c r="AZ56" s="5">
        <f t="shared" si="71"/>
        <v>-9.1154875498795293E-2</v>
      </c>
      <c r="BA56" s="5">
        <f t="shared" si="72"/>
        <v>8.2045126976090683E-3</v>
      </c>
      <c r="BB56" s="5">
        <f t="shared" si="73"/>
        <v>-1.8514764543353163E-5</v>
      </c>
      <c r="BC56" s="5">
        <f t="shared" si="74"/>
        <v>6.1868177289726416E-3</v>
      </c>
      <c r="BD56" s="5">
        <f t="shared" si="75"/>
        <v>0.96688390315963124</v>
      </c>
      <c r="BE56" s="6">
        <f t="shared" si="76"/>
        <v>0.92305008643728337</v>
      </c>
      <c r="BF56" s="7">
        <f t="shared" si="77"/>
        <v>0.12305008643728332</v>
      </c>
      <c r="BG56" s="5">
        <v>0.85</v>
      </c>
      <c r="BH56" s="5">
        <f t="shared" si="78"/>
        <v>0.20340852804386006</v>
      </c>
      <c r="BI56" s="5">
        <f t="shared" si="79"/>
        <v>-8.5792823998866161E-2</v>
      </c>
      <c r="BJ56" s="5">
        <f t="shared" si="80"/>
        <v>7.2676652269478264E-3</v>
      </c>
      <c r="BK56" s="5">
        <f t="shared" si="81"/>
        <v>-1.3673304949590764E-5</v>
      </c>
      <c r="BL56" s="5">
        <f t="shared" si="82"/>
        <v>5.4599766069684218E-3</v>
      </c>
      <c r="BM56" s="5">
        <f t="shared" si="83"/>
        <v>0.97060916823329946</v>
      </c>
      <c r="BN56" s="8">
        <f t="shared" si="84"/>
        <v>0.92678801788609411</v>
      </c>
      <c r="BO56" s="9">
        <f t="shared" si="85"/>
        <v>7.6788017886094129E-2</v>
      </c>
      <c r="BP56" s="10">
        <f t="shared" si="86"/>
        <v>-0.92524137102378512</v>
      </c>
      <c r="BQ56" s="10">
        <f t="shared" si="87"/>
        <v>0.9329924172123083</v>
      </c>
    </row>
    <row r="57" spans="2:69">
      <c r="B57">
        <f t="shared" si="88"/>
        <v>8200</v>
      </c>
      <c r="C57">
        <f t="shared" si="46"/>
        <v>172.80000000000047</v>
      </c>
      <c r="D57">
        <f t="shared" si="52"/>
        <v>632.80000000000041</v>
      </c>
      <c r="E57">
        <f t="shared" si="89"/>
        <v>632.40000000000043</v>
      </c>
      <c r="F57">
        <f t="shared" si="95"/>
        <v>729.77515022057173</v>
      </c>
      <c r="G57">
        <f t="shared" si="90"/>
        <v>726.96600527780924</v>
      </c>
      <c r="H57">
        <f t="shared" si="53"/>
        <v>0.93283493818634078</v>
      </c>
      <c r="I57">
        <f t="shared" si="91"/>
        <v>0.93291367769932454</v>
      </c>
      <c r="K57">
        <f t="shared" si="92"/>
        <v>-7.3871547399296748E-3</v>
      </c>
      <c r="L57">
        <f t="shared" si="93"/>
        <v>4.4044741007597714E-3</v>
      </c>
      <c r="M57">
        <f t="shared" si="48"/>
        <v>215034706.35780421</v>
      </c>
      <c r="N57">
        <f t="shared" si="96"/>
        <v>540801.42754272174</v>
      </c>
      <c r="O57">
        <f t="shared" si="97"/>
        <v>735.39202303446405</v>
      </c>
      <c r="Q57" s="2">
        <f t="shared" si="42"/>
        <v>2.1696012714775397</v>
      </c>
      <c r="R57" s="2">
        <f t="shared" si="54"/>
        <v>3.4769251145473391E-2</v>
      </c>
      <c r="W57" s="2">
        <f t="shared" si="55"/>
        <v>154115.78279539407</v>
      </c>
      <c r="X57" s="2">
        <f t="shared" si="43"/>
        <v>1204.6754300000005</v>
      </c>
      <c r="Y57" s="2">
        <f t="shared" si="56"/>
        <v>127.93137384348746</v>
      </c>
      <c r="Z57" s="2">
        <f t="shared" si="44"/>
        <v>5.1967860913969641</v>
      </c>
      <c r="AA57" s="2">
        <f t="shared" si="57"/>
        <v>1.2912347732733154</v>
      </c>
      <c r="AB57" s="2">
        <f t="shared" si="58"/>
        <v>1.0702927155756643</v>
      </c>
      <c r="AC57" s="2">
        <f t="shared" si="59"/>
        <v>1.3692401751827172E-2</v>
      </c>
      <c r="AD57" s="2">
        <f t="shared" si="60"/>
        <v>2192423.2705105315</v>
      </c>
      <c r="AI57">
        <f t="shared" si="61"/>
        <v>2.3011979793596909E-6</v>
      </c>
      <c r="AK57">
        <f t="shared" si="62"/>
        <v>1.1814449626119588E-5</v>
      </c>
      <c r="AL57">
        <f t="shared" si="63"/>
        <v>-3.9753321153740879</v>
      </c>
      <c r="AM57">
        <f t="shared" si="64"/>
        <v>15.067753391278012</v>
      </c>
      <c r="AN57">
        <f t="shared" si="65"/>
        <v>227.03719226037003</v>
      </c>
      <c r="AO57">
        <f t="shared" si="66"/>
        <v>4.4045646884726414E-3</v>
      </c>
      <c r="AQ57" s="3">
        <f t="shared" si="94"/>
        <v>172.80000000000047</v>
      </c>
      <c r="AR57" s="3">
        <f t="shared" si="67"/>
        <v>632.80000000000041</v>
      </c>
      <c r="AS57">
        <f t="shared" si="98"/>
        <v>729.77515022057173</v>
      </c>
      <c r="AV57" s="3">
        <f t="shared" si="68"/>
        <v>1.6874666666666678</v>
      </c>
      <c r="AW57" s="3">
        <f t="shared" si="69"/>
        <v>1.0875933684360235</v>
      </c>
      <c r="AX57" s="4">
        <v>0.8</v>
      </c>
      <c r="AY57" s="5">
        <f t="shared" si="70"/>
        <v>0.21752297043723787</v>
      </c>
      <c r="AZ57" s="5">
        <f t="shared" si="71"/>
        <v>-9.147639113644232E-2</v>
      </c>
      <c r="BA57" s="5">
        <f t="shared" si="72"/>
        <v>8.3296242800482111E-3</v>
      </c>
      <c r="BB57" s="5">
        <f t="shared" si="73"/>
        <v>-1.9102921759181767E-5</v>
      </c>
      <c r="BC57" s="5">
        <f t="shared" si="74"/>
        <v>6.2462197056286873E-3</v>
      </c>
      <c r="BD57" s="5">
        <f t="shared" si="75"/>
        <v>0.96646034470988251</v>
      </c>
      <c r="BE57" s="6">
        <f t="shared" si="76"/>
        <v>0.92290905971520065</v>
      </c>
      <c r="BF57" s="7">
        <f t="shared" si="77"/>
        <v>0.12290905971520061</v>
      </c>
      <c r="BG57" s="5">
        <v>0.85</v>
      </c>
      <c r="BH57" s="5">
        <f t="shared" si="78"/>
        <v>0.20472750158798864</v>
      </c>
      <c r="BI57" s="5">
        <f t="shared" si="79"/>
        <v>-8.6095426951945747E-2</v>
      </c>
      <c r="BJ57" s="5">
        <f t="shared" si="80"/>
        <v>7.3784907117382115E-3</v>
      </c>
      <c r="BK57" s="5">
        <f t="shared" si="81"/>
        <v>-1.4107663860906982E-5</v>
      </c>
      <c r="BL57" s="5">
        <f t="shared" si="82"/>
        <v>5.5121409332407811E-3</v>
      </c>
      <c r="BM57" s="5">
        <f t="shared" si="83"/>
        <v>0.97023251960037826</v>
      </c>
      <c r="BN57" s="8">
        <f t="shared" si="84"/>
        <v>0.92664522980970399</v>
      </c>
      <c r="BO57" s="9">
        <f t="shared" si="85"/>
        <v>7.6645229809704007E-2</v>
      </c>
      <c r="BP57" s="10">
        <f t="shared" si="86"/>
        <v>-0.92527659810993323</v>
      </c>
      <c r="BQ57" s="10">
        <f t="shared" si="87"/>
        <v>0.93283493818634078</v>
      </c>
    </row>
    <row r="58" spans="2:69">
      <c r="B58">
        <f t="shared" si="88"/>
        <v>8400</v>
      </c>
      <c r="C58">
        <f t="shared" si="46"/>
        <v>173.60000000000048</v>
      </c>
      <c r="D58">
        <f t="shared" si="52"/>
        <v>633.60000000000048</v>
      </c>
      <c r="E58">
        <f t="shared" si="89"/>
        <v>633.2000000000005</v>
      </c>
      <c r="F58">
        <f t="shared" si="95"/>
        <v>735.39202303446405</v>
      </c>
      <c r="G58">
        <f t="shared" si="90"/>
        <v>732.58358662751789</v>
      </c>
      <c r="H58">
        <f t="shared" si="53"/>
        <v>0.93268177634867244</v>
      </c>
      <c r="I58">
        <f t="shared" si="91"/>
        <v>0.93275835726750667</v>
      </c>
      <c r="K58">
        <f t="shared" si="92"/>
        <v>-7.379050167399915E-3</v>
      </c>
      <c r="L58">
        <f t="shared" si="93"/>
        <v>4.4045646884726414E-3</v>
      </c>
      <c r="M58">
        <f t="shared" si="48"/>
        <v>215511752.80141225</v>
      </c>
      <c r="N58">
        <f t="shared" si="96"/>
        <v>549092.46117848356</v>
      </c>
      <c r="O58">
        <f t="shared" si="97"/>
        <v>741.00773354836429</v>
      </c>
      <c r="Q58" s="2">
        <f t="shared" si="42"/>
        <v>2.1838981720629929</v>
      </c>
      <c r="R58" s="2">
        <f t="shared" si="54"/>
        <v>3.4998368142035143E-2</v>
      </c>
      <c r="W58" s="2">
        <f t="shared" si="55"/>
        <v>154408.1301058188</v>
      </c>
      <c r="X58" s="2">
        <f t="shared" si="43"/>
        <v>1205.4754300000004</v>
      </c>
      <c r="Y58" s="2">
        <f t="shared" si="56"/>
        <v>128.08898984014857</v>
      </c>
      <c r="Z58" s="2">
        <f t="shared" si="44"/>
        <v>5.19481792681818</v>
      </c>
      <c r="AA58" s="2">
        <f t="shared" si="57"/>
        <v>1.2916724930756369</v>
      </c>
      <c r="AB58" s="2">
        <f t="shared" si="58"/>
        <v>1.0707768149986714</v>
      </c>
      <c r="AC58" s="2">
        <f t="shared" si="59"/>
        <v>1.3715472057743148E-2</v>
      </c>
      <c r="AD58" s="2">
        <f t="shared" si="60"/>
        <v>2188735.4735951182</v>
      </c>
      <c r="AI58">
        <f t="shared" si="61"/>
        <v>2.3050752641720483E-6</v>
      </c>
      <c r="AK58">
        <f t="shared" si="62"/>
        <v>1.1832325803298021E-5</v>
      </c>
      <c r="AL58">
        <f t="shared" si="63"/>
        <v>-3.9752587730943061</v>
      </c>
      <c r="AM58">
        <f t="shared" si="64"/>
        <v>15.067598554317003</v>
      </c>
      <c r="AN58">
        <f t="shared" si="65"/>
        <v>227.03252619405583</v>
      </c>
      <c r="AO58">
        <f t="shared" si="66"/>
        <v>4.4046552129065903E-3</v>
      </c>
      <c r="AQ58" s="3">
        <f t="shared" si="94"/>
        <v>173.60000000000048</v>
      </c>
      <c r="AR58" s="3">
        <f t="shared" si="67"/>
        <v>633.60000000000048</v>
      </c>
      <c r="AS58">
        <f t="shared" si="98"/>
        <v>735.39202303446405</v>
      </c>
      <c r="AV58" s="3">
        <f t="shared" si="68"/>
        <v>1.6896000000000013</v>
      </c>
      <c r="AW58" s="3">
        <f t="shared" si="69"/>
        <v>1.095964266817383</v>
      </c>
      <c r="AX58" s="4">
        <v>0.8</v>
      </c>
      <c r="AY58" s="5">
        <f t="shared" si="70"/>
        <v>0.21892041906419654</v>
      </c>
      <c r="AZ58" s="5">
        <f t="shared" si="71"/>
        <v>-9.179370897204106E-2</v>
      </c>
      <c r="BA58" s="5">
        <f t="shared" si="72"/>
        <v>8.4555575686020047E-3</v>
      </c>
      <c r="BB58" s="5">
        <f t="shared" si="73"/>
        <v>-1.9703909863449853E-5</v>
      </c>
      <c r="BC58" s="5">
        <f t="shared" si="74"/>
        <v>6.3054791135717372E-3</v>
      </c>
      <c r="BD58" s="5">
        <f t="shared" si="75"/>
        <v>0.96603544387009765</v>
      </c>
      <c r="BE58" s="6">
        <f t="shared" si="76"/>
        <v>0.92277286882071741</v>
      </c>
      <c r="BF58" s="7">
        <f t="shared" si="77"/>
        <v>0.12277286882071736</v>
      </c>
      <c r="BG58" s="5">
        <v>0.85</v>
      </c>
      <c r="BH58" s="5">
        <f t="shared" si="78"/>
        <v>0.20604274735453793</v>
      </c>
      <c r="BI58" s="5">
        <f t="shared" si="79"/>
        <v>-8.639407903250923E-2</v>
      </c>
      <c r="BJ58" s="5">
        <f t="shared" si="80"/>
        <v>7.4900440746093885E-3</v>
      </c>
      <c r="BK58" s="5">
        <f t="shared" si="81"/>
        <v>-1.4551498488211696E-5</v>
      </c>
      <c r="BL58" s="5">
        <f t="shared" si="82"/>
        <v>5.5641738051379758E-3</v>
      </c>
      <c r="BM58" s="5">
        <f t="shared" si="83"/>
        <v>0.96985465831049189</v>
      </c>
      <c r="BN58" s="8">
        <f t="shared" si="84"/>
        <v>0.92650695642515057</v>
      </c>
      <c r="BO58" s="9">
        <f t="shared" si="85"/>
        <v>7.6506956425150596E-2</v>
      </c>
      <c r="BP58" s="10">
        <f t="shared" si="86"/>
        <v>-0.92531824791133654</v>
      </c>
      <c r="BQ58" s="10">
        <f t="shared" si="87"/>
        <v>0.93268177634867244</v>
      </c>
    </row>
    <row r="59" spans="2:69">
      <c r="B59">
        <f t="shared" si="88"/>
        <v>8600</v>
      </c>
      <c r="C59">
        <f t="shared" si="46"/>
        <v>174.40000000000049</v>
      </c>
      <c r="D59">
        <f t="shared" si="52"/>
        <v>634.40000000000055</v>
      </c>
      <c r="E59">
        <f t="shared" si="89"/>
        <v>634.00000000000045</v>
      </c>
      <c r="F59">
        <f t="shared" si="95"/>
        <v>741.00773354836429</v>
      </c>
      <c r="G59">
        <f t="shared" si="90"/>
        <v>738.19987829141417</v>
      </c>
      <c r="H59">
        <f t="shared" si="53"/>
        <v>0.93253287737392654</v>
      </c>
      <c r="I59">
        <f t="shared" si="91"/>
        <v>0.93260732686129955</v>
      </c>
      <c r="K59">
        <f t="shared" si="92"/>
        <v>-7.3709325500487359E-3</v>
      </c>
      <c r="L59">
        <f t="shared" si="93"/>
        <v>4.4046552129065903E-3</v>
      </c>
      <c r="M59">
        <f t="shared" si="48"/>
        <v>215991139.96843526</v>
      </c>
      <c r="N59">
        <f t="shared" si="96"/>
        <v>557445.20129136392</v>
      </c>
      <c r="O59">
        <f t="shared" si="97"/>
        <v>746.62252932212266</v>
      </c>
      <c r="Q59" s="2">
        <f t="shared" si="42"/>
        <v>2.1981511077401885</v>
      </c>
      <c r="R59" s="2">
        <f t="shared" si="54"/>
        <v>3.5226780572759429E-2</v>
      </c>
      <c r="W59" s="2">
        <f t="shared" si="55"/>
        <v>154700.66203724674</v>
      </c>
      <c r="X59" s="2">
        <f t="shared" si="43"/>
        <v>1206.2754300000006</v>
      </c>
      <c r="Y59" s="2">
        <f t="shared" si="56"/>
        <v>128.24654982589396</v>
      </c>
      <c r="Z59" s="2">
        <f t="shared" si="44"/>
        <v>5.1928547260844873</v>
      </c>
      <c r="AA59" s="2">
        <f t="shared" si="57"/>
        <v>1.2921091089188101</v>
      </c>
      <c r="AB59" s="2">
        <f t="shared" si="58"/>
        <v>1.0712591250176369</v>
      </c>
      <c r="AC59" s="2">
        <f t="shared" si="59"/>
        <v>1.3738528675301794E-2</v>
      </c>
      <c r="AD59" s="2">
        <f t="shared" si="60"/>
        <v>2185062.2391502648</v>
      </c>
      <c r="AI59">
        <f t="shared" si="61"/>
        <v>2.3089502484661474E-6</v>
      </c>
      <c r="AK59">
        <f t="shared" si="62"/>
        <v>1.1850188312930713E-5</v>
      </c>
      <c r="AL59">
        <f t="shared" si="63"/>
        <v>-3.9751854992591777</v>
      </c>
      <c r="AM59">
        <f t="shared" si="64"/>
        <v>15.06744382819927</v>
      </c>
      <c r="AN59">
        <f t="shared" si="65"/>
        <v>227.02786351594028</v>
      </c>
      <c r="AO59">
        <f t="shared" si="66"/>
        <v>4.4047456753245054E-3</v>
      </c>
      <c r="AQ59" s="3">
        <f t="shared" si="94"/>
        <v>174.40000000000049</v>
      </c>
      <c r="AR59" s="3">
        <f t="shared" si="67"/>
        <v>634.40000000000055</v>
      </c>
      <c r="AS59">
        <f t="shared" si="98"/>
        <v>741.00773354836429</v>
      </c>
      <c r="AV59" s="3">
        <f t="shared" si="68"/>
        <v>1.6917333333333349</v>
      </c>
      <c r="AW59" s="3">
        <f t="shared" si="69"/>
        <v>1.1043334330079944</v>
      </c>
      <c r="AX59" s="4">
        <v>0.8</v>
      </c>
      <c r="AY59" s="5">
        <f t="shared" si="70"/>
        <v>0.22031399765932244</v>
      </c>
      <c r="AZ59" s="5">
        <f t="shared" si="71"/>
        <v>-9.2106894648967957E-2</v>
      </c>
      <c r="BA59" s="5">
        <f t="shared" si="72"/>
        <v>8.5823149984004723E-3</v>
      </c>
      <c r="BB59" s="5">
        <f t="shared" si="73"/>
        <v>-2.0317900559690187E-5</v>
      </c>
      <c r="BC59" s="5">
        <f t="shared" si="74"/>
        <v>6.3645974471331097E-3</v>
      </c>
      <c r="BD59" s="5">
        <f t="shared" si="75"/>
        <v>0.96560919786150445</v>
      </c>
      <c r="BE59" s="6">
        <f t="shared" si="76"/>
        <v>0.92264145208562975</v>
      </c>
      <c r="BF59" s="7">
        <f t="shared" si="77"/>
        <v>0.12264145208562971</v>
      </c>
      <c r="BG59" s="5">
        <v>0.85</v>
      </c>
      <c r="BH59" s="5">
        <f t="shared" si="78"/>
        <v>0.20735435073818587</v>
      </c>
      <c r="BI59" s="5">
        <f t="shared" si="79"/>
        <v>-8.6688842022558096E-2</v>
      </c>
      <c r="BJ59" s="5">
        <f t="shared" si="80"/>
        <v>7.6023274726315631E-3</v>
      </c>
      <c r="BK59" s="5">
        <f t="shared" si="81"/>
        <v>-1.5004935635967367E-5</v>
      </c>
      <c r="BL59" s="5">
        <f t="shared" si="82"/>
        <v>5.616076537907696E-3</v>
      </c>
      <c r="BM59" s="5">
        <f t="shared" si="83"/>
        <v>0.96947558170318615</v>
      </c>
      <c r="BN59" s="8">
        <f t="shared" si="84"/>
        <v>0.92637313945418709</v>
      </c>
      <c r="BO59" s="9">
        <f t="shared" si="85"/>
        <v>7.6373139454187111E-2</v>
      </c>
      <c r="BP59" s="10">
        <f t="shared" si="86"/>
        <v>-0.92536625262885319</v>
      </c>
      <c r="BQ59" s="10">
        <f t="shared" si="87"/>
        <v>0.93253287737392654</v>
      </c>
    </row>
    <row r="60" spans="2:69">
      <c r="B60">
        <f t="shared" si="88"/>
        <v>8800</v>
      </c>
      <c r="C60">
        <f t="shared" si="46"/>
        <v>175.2000000000005</v>
      </c>
      <c r="D60">
        <f t="shared" si="52"/>
        <v>635.2000000000005</v>
      </c>
      <c r="E60">
        <f t="shared" si="89"/>
        <v>634.80000000000052</v>
      </c>
      <c r="F60">
        <f t="shared" si="95"/>
        <v>746.62252932212266</v>
      </c>
      <c r="G60">
        <f t="shared" si="90"/>
        <v>743.81513143524353</v>
      </c>
      <c r="H60">
        <f t="shared" si="53"/>
        <v>0.93238818827955949</v>
      </c>
      <c r="I60">
        <f t="shared" si="91"/>
        <v>0.93246053282674302</v>
      </c>
      <c r="K60">
        <f t="shared" si="92"/>
        <v>-7.3628023281434307E-3</v>
      </c>
      <c r="L60">
        <f t="shared" si="93"/>
        <v>4.4047456753245054E-3</v>
      </c>
      <c r="M60">
        <f t="shared" si="48"/>
        <v>216472856.62172329</v>
      </c>
      <c r="N60">
        <f t="shared" si="96"/>
        <v>565859.97907518491</v>
      </c>
      <c r="O60">
        <f t="shared" si="97"/>
        <v>752.23665097839057</v>
      </c>
      <c r="Q60" s="2">
        <f t="shared" si="42"/>
        <v>2.2123608671433206</v>
      </c>
      <c r="R60" s="2">
        <f t="shared" si="54"/>
        <v>3.5454501076014756E-2</v>
      </c>
      <c r="W60" s="2">
        <f t="shared" si="55"/>
        <v>154993.37847323462</v>
      </c>
      <c r="X60" s="2">
        <f t="shared" si="43"/>
        <v>1207.0754300000006</v>
      </c>
      <c r="Y60" s="2">
        <f t="shared" si="56"/>
        <v>128.40405381562158</v>
      </c>
      <c r="Z60" s="2">
        <f t="shared" si="44"/>
        <v>5.1908964704408049</v>
      </c>
      <c r="AA60" s="2">
        <f t="shared" si="57"/>
        <v>1.2925446249739652</v>
      </c>
      <c r="AB60" s="2">
        <f t="shared" si="58"/>
        <v>1.071739676764111</v>
      </c>
      <c r="AC60" s="2">
        <f t="shared" si="59"/>
        <v>1.3761571913155577E-2</v>
      </c>
      <c r="AD60" s="2">
        <f t="shared" si="60"/>
        <v>2181403.4340937054</v>
      </c>
      <c r="AI60">
        <f t="shared" si="61"/>
        <v>2.3128229841153155E-6</v>
      </c>
      <c r="AK60">
        <f t="shared" si="62"/>
        <v>1.1868037405180477E-5</v>
      </c>
      <c r="AL60">
        <f t="shared" si="63"/>
        <v>-3.9751122928102198</v>
      </c>
      <c r="AM60">
        <f t="shared" si="64"/>
        <v>15.067289210814147</v>
      </c>
      <c r="AN60">
        <f t="shared" si="65"/>
        <v>227.0232041623164</v>
      </c>
      <c r="AO60">
        <f t="shared" si="66"/>
        <v>4.404836076954596E-3</v>
      </c>
      <c r="AQ60" s="3">
        <f t="shared" si="94"/>
        <v>175.2000000000005</v>
      </c>
      <c r="AR60" s="3">
        <f t="shared" si="67"/>
        <v>635.2000000000005</v>
      </c>
      <c r="AS60">
        <f t="shared" si="98"/>
        <v>746.62252932212266</v>
      </c>
      <c r="AV60" s="3">
        <f t="shared" si="68"/>
        <v>1.693866666666668</v>
      </c>
      <c r="AW60" s="3">
        <f t="shared" si="69"/>
        <v>1.1127012359495121</v>
      </c>
      <c r="AX60" s="4">
        <v>0.8</v>
      </c>
      <c r="AY60" s="5">
        <f t="shared" si="70"/>
        <v>0.22170379435588791</v>
      </c>
      <c r="AZ60" s="5">
        <f t="shared" si="71"/>
        <v>-9.2416012090823299E-2</v>
      </c>
      <c r="BA60" s="5">
        <f t="shared" si="72"/>
        <v>8.7098990010176826E-3</v>
      </c>
      <c r="BB60" s="5">
        <f t="shared" si="73"/>
        <v>-2.0945066938757072E-5</v>
      </c>
      <c r="BC60" s="5">
        <f t="shared" si="74"/>
        <v>6.4235761823479695E-3</v>
      </c>
      <c r="BD60" s="5">
        <f t="shared" si="75"/>
        <v>0.96518160395356822</v>
      </c>
      <c r="BE60" s="6">
        <f t="shared" si="76"/>
        <v>0.92251474953992973</v>
      </c>
      <c r="BF60" s="7">
        <f t="shared" si="77"/>
        <v>0.12251474953992969</v>
      </c>
      <c r="BG60" s="5">
        <v>0.85</v>
      </c>
      <c r="BH60" s="5">
        <f t="shared" si="78"/>
        <v>0.20866239468789452</v>
      </c>
      <c r="BI60" s="5">
        <f t="shared" si="79"/>
        <v>-8.6979776085480756E-2</v>
      </c>
      <c r="BJ60" s="5">
        <f t="shared" si="80"/>
        <v>7.7153430597250066E-3</v>
      </c>
      <c r="BK60" s="5">
        <f t="shared" si="81"/>
        <v>-1.5468103133184642E-5</v>
      </c>
      <c r="BL60" s="5">
        <f t="shared" si="82"/>
        <v>5.6678504305072977E-3</v>
      </c>
      <c r="BM60" s="5">
        <f t="shared" si="83"/>
        <v>0.96909528715965554</v>
      </c>
      <c r="BN60" s="8">
        <f t="shared" si="84"/>
        <v>0.92624372221790774</v>
      </c>
      <c r="BO60" s="9">
        <f t="shared" si="85"/>
        <v>7.6243722217907761E-2</v>
      </c>
      <c r="BP60" s="10">
        <f t="shared" si="86"/>
        <v>-0.92542054644043981</v>
      </c>
      <c r="BQ60" s="10">
        <f t="shared" si="87"/>
        <v>0.93238818827955949</v>
      </c>
    </row>
    <row r="61" spans="2:69">
      <c r="B61">
        <f t="shared" si="88"/>
        <v>9000</v>
      </c>
      <c r="C61">
        <f t="shared" si="46"/>
        <v>176.00000000000051</v>
      </c>
      <c r="D61">
        <f t="shared" si="52"/>
        <v>636.00000000000045</v>
      </c>
      <c r="E61">
        <f t="shared" si="89"/>
        <v>635.60000000000048</v>
      </c>
      <c r="F61">
        <f t="shared" si="95"/>
        <v>752.23665097839057</v>
      </c>
      <c r="G61">
        <f t="shared" si="90"/>
        <v>749.42959015025667</v>
      </c>
      <c r="H61">
        <f t="shared" si="53"/>
        <v>0.9322476573774372</v>
      </c>
      <c r="I61">
        <f t="shared" si="91"/>
        <v>0.93231792282849835</v>
      </c>
      <c r="K61">
        <f t="shared" si="92"/>
        <v>-7.3546599307527548E-3</v>
      </c>
      <c r="L61">
        <f t="shared" si="93"/>
        <v>4.404836076954596E-3</v>
      </c>
      <c r="M61">
        <f t="shared" si="48"/>
        <v>216956891.955479</v>
      </c>
      <c r="N61">
        <f t="shared" si="96"/>
        <v>574337.12641572009</v>
      </c>
      <c r="O61">
        <f t="shared" si="97"/>
        <v>757.85033246395039</v>
      </c>
      <c r="Q61" s="2">
        <f t="shared" si="42"/>
        <v>2.226528215758059</v>
      </c>
      <c r="R61" s="2">
        <f t="shared" si="54"/>
        <v>3.5681541919199665E-2</v>
      </c>
      <c r="W61" s="2">
        <f t="shared" si="55"/>
        <v>155286.27929755958</v>
      </c>
      <c r="X61" s="2">
        <f t="shared" si="43"/>
        <v>1207.8754300000005</v>
      </c>
      <c r="Y61" s="2">
        <f t="shared" si="56"/>
        <v>128.56150182437233</v>
      </c>
      <c r="Z61" s="2">
        <f t="shared" si="44"/>
        <v>5.1889431412264138</v>
      </c>
      <c r="AA61" s="2">
        <f t="shared" si="57"/>
        <v>1.2929790453912458</v>
      </c>
      <c r="AB61" s="2">
        <f t="shared" si="58"/>
        <v>1.0722185005566733</v>
      </c>
      <c r="AC61" s="2">
        <f t="shared" si="59"/>
        <v>1.3784602071544253E-2</v>
      </c>
      <c r="AD61" s="2">
        <f t="shared" si="60"/>
        <v>2177758.9279747736</v>
      </c>
      <c r="AI61">
        <f t="shared" si="61"/>
        <v>2.3166935215790066E-6</v>
      </c>
      <c r="AK61">
        <f t="shared" si="62"/>
        <v>1.1885873323489205E-5</v>
      </c>
      <c r="AL61">
        <f t="shared" si="63"/>
        <v>-3.9750391527172408</v>
      </c>
      <c r="AM61">
        <f t="shared" si="64"/>
        <v>15.067134700108474</v>
      </c>
      <c r="AN61">
        <f t="shared" si="65"/>
        <v>227.01854807121288</v>
      </c>
      <c r="AO61">
        <f t="shared" si="66"/>
        <v>4.4049264189915992E-3</v>
      </c>
      <c r="AQ61" s="3">
        <f t="shared" si="94"/>
        <v>176.00000000000051</v>
      </c>
      <c r="AR61" s="3">
        <f t="shared" si="67"/>
        <v>636.00000000000045</v>
      </c>
      <c r="AS61">
        <f t="shared" si="98"/>
        <v>752.23665097839057</v>
      </c>
      <c r="AV61" s="3">
        <f t="shared" si="68"/>
        <v>1.6960000000000013</v>
      </c>
      <c r="AW61" s="3">
        <f t="shared" si="69"/>
        <v>1.1210680342449935</v>
      </c>
      <c r="AX61" s="4">
        <v>0.8</v>
      </c>
      <c r="AY61" s="5">
        <f t="shared" si="70"/>
        <v>0.2230898947863709</v>
      </c>
      <c r="AZ61" s="5">
        <f t="shared" si="71"/>
        <v>-9.2721123563418606E-2</v>
      </c>
      <c r="BA61" s="5">
        <f t="shared" si="72"/>
        <v>8.8383120044700364E-3</v>
      </c>
      <c r="BB61" s="5">
        <f t="shared" si="73"/>
        <v>-2.1585583487154339E-5</v>
      </c>
      <c r="BC61" s="5">
        <f t="shared" si="74"/>
        <v>6.4824167772647981E-3</v>
      </c>
      <c r="BD61" s="5">
        <f t="shared" si="75"/>
        <v>0.96475265946350142</v>
      </c>
      <c r="BE61" s="6">
        <f t="shared" si="76"/>
        <v>0.92239270285015562</v>
      </c>
      <c r="BF61" s="7">
        <f t="shared" si="77"/>
        <v>0.12239270285015558</v>
      </c>
      <c r="BG61" s="5">
        <v>0.85</v>
      </c>
      <c r="BH61" s="5">
        <f t="shared" si="78"/>
        <v>0.20996695979893734</v>
      </c>
      <c r="BI61" s="5">
        <f t="shared" si="79"/>
        <v>-8.7266939824393985E-2</v>
      </c>
      <c r="BJ61" s="5">
        <f t="shared" si="80"/>
        <v>7.8290929866585805E-3</v>
      </c>
      <c r="BK61" s="5">
        <f t="shared" si="81"/>
        <v>-1.5941129839572832E-5</v>
      </c>
      <c r="BL61" s="5">
        <f t="shared" si="82"/>
        <v>5.7194967658804182E-3</v>
      </c>
      <c r="BM61" s="5">
        <f t="shared" si="83"/>
        <v>0.9687137721023118</v>
      </c>
      <c r="BN61" s="8">
        <f t="shared" si="84"/>
        <v>0.92611864957870726</v>
      </c>
      <c r="BO61" s="9">
        <f t="shared" si="85"/>
        <v>7.6118649578707287E-2</v>
      </c>
      <c r="BP61" s="10">
        <f t="shared" si="86"/>
        <v>-0.92548106542896702</v>
      </c>
      <c r="BQ61" s="10">
        <f t="shared" si="87"/>
        <v>0.9322476573774372</v>
      </c>
    </row>
    <row r="62" spans="2:69">
      <c r="B62">
        <f t="shared" si="88"/>
        <v>9200</v>
      </c>
      <c r="C62">
        <f t="shared" si="46"/>
        <v>176.80000000000052</v>
      </c>
      <c r="D62">
        <f t="shared" si="52"/>
        <v>636.80000000000052</v>
      </c>
      <c r="E62">
        <f t="shared" si="89"/>
        <v>636.40000000000055</v>
      </c>
      <c r="F62">
        <f t="shared" si="95"/>
        <v>757.85033246395039</v>
      </c>
      <c r="G62">
        <f t="shared" si="90"/>
        <v>755.04349172117054</v>
      </c>
      <c r="H62">
        <f t="shared" si="53"/>
        <v>0.93211123422761843</v>
      </c>
      <c r="I62">
        <f t="shared" si="91"/>
        <v>0.93217944580252787</v>
      </c>
      <c r="K62">
        <f t="shared" si="92"/>
        <v>-7.3465057761393704E-3</v>
      </c>
      <c r="L62">
        <f t="shared" si="93"/>
        <v>4.4049264189915992E-3</v>
      </c>
      <c r="M62">
        <f t="shared" si="48"/>
        <v>217443235.57913464</v>
      </c>
      <c r="N62">
        <f t="shared" si="96"/>
        <v>582876.97589323844</v>
      </c>
      <c r="O62">
        <f t="shared" si="97"/>
        <v>763.46380129855436</v>
      </c>
      <c r="Q62" s="2">
        <f t="shared" si="42"/>
        <v>2.2406538967873595</v>
      </c>
      <c r="R62" s="2">
        <f t="shared" si="54"/>
        <v>3.590791501261794E-2</v>
      </c>
      <c r="W62" s="2">
        <f t="shared" si="55"/>
        <v>155579.36439421689</v>
      </c>
      <c r="X62" s="2">
        <f t="shared" si="43"/>
        <v>1208.6754300000007</v>
      </c>
      <c r="Y62" s="2">
        <f t="shared" si="56"/>
        <v>128.71889386732781</v>
      </c>
      <c r="Z62" s="2">
        <f t="shared" si="44"/>
        <v>5.1869947198743702</v>
      </c>
      <c r="AA62" s="2">
        <f t="shared" si="57"/>
        <v>1.2934123742999402</v>
      </c>
      <c r="AB62" s="2">
        <f t="shared" si="58"/>
        <v>1.0726956259288454</v>
      </c>
      <c r="AC62" s="2">
        <f t="shared" si="59"/>
        <v>1.3807619442588183E-2</v>
      </c>
      <c r="AD62" s="2">
        <f t="shared" si="60"/>
        <v>2174128.592890739</v>
      </c>
      <c r="AI62">
        <f t="shared" si="61"/>
        <v>2.3205619099520977E-6</v>
      </c>
      <c r="AK62">
        <f t="shared" si="62"/>
        <v>1.1903696304811819E-5</v>
      </c>
      <c r="AL62">
        <f t="shared" si="63"/>
        <v>-3.9749660779773577</v>
      </c>
      <c r="AM62">
        <f t="shared" si="64"/>
        <v>15.066980294084575</v>
      </c>
      <c r="AN62">
        <f t="shared" si="65"/>
        <v>227.0138951823329</v>
      </c>
      <c r="AO62">
        <f t="shared" si="66"/>
        <v>4.4050167025979645E-3</v>
      </c>
      <c r="AQ62" s="3">
        <f t="shared" si="94"/>
        <v>176.80000000000052</v>
      </c>
      <c r="AR62" s="3">
        <f t="shared" si="67"/>
        <v>636.80000000000052</v>
      </c>
      <c r="AS62">
        <f t="shared" si="98"/>
        <v>757.85033246395039</v>
      </c>
      <c r="AV62" s="3">
        <f t="shared" si="68"/>
        <v>1.6981333333333348</v>
      </c>
      <c r="AW62" s="3">
        <f t="shared" si="69"/>
        <v>1.1294341765483613</v>
      </c>
      <c r="AX62" s="4">
        <v>0.8</v>
      </c>
      <c r="AY62" s="5">
        <f t="shared" si="70"/>
        <v>0.22447238217556828</v>
      </c>
      <c r="AZ62" s="5">
        <f t="shared" si="71"/>
        <v>-9.3022289733897423E-2</v>
      </c>
      <c r="BA62" s="5">
        <f t="shared" si="72"/>
        <v>8.9675564332120407E-3</v>
      </c>
      <c r="BB62" s="5">
        <f t="shared" si="73"/>
        <v>-2.2239626095283476E-5</v>
      </c>
      <c r="BC62" s="5">
        <f t="shared" si="74"/>
        <v>6.5411206722468225E-3</v>
      </c>
      <c r="BD62" s="5">
        <f t="shared" si="75"/>
        <v>0.96432236175579289</v>
      </c>
      <c r="BE62" s="6">
        <f t="shared" si="76"/>
        <v>0.9222752552606005</v>
      </c>
      <c r="BF62" s="7">
        <f t="shared" si="77"/>
        <v>0.12227525526060046</v>
      </c>
      <c r="BG62" s="5">
        <v>0.85</v>
      </c>
      <c r="BH62" s="5">
        <f t="shared" si="78"/>
        <v>0.21126812440053486</v>
      </c>
      <c r="BI62" s="5">
        <f t="shared" si="79"/>
        <v>-8.7550390337785819E-2</v>
      </c>
      <c r="BJ62" s="5">
        <f t="shared" si="80"/>
        <v>7.9435794010459596E-3</v>
      </c>
      <c r="BK62" s="5">
        <f t="shared" si="81"/>
        <v>-1.6424145651631097E-5</v>
      </c>
      <c r="BL62" s="5">
        <f t="shared" si="82"/>
        <v>5.7710168112263642E-3</v>
      </c>
      <c r="BM62" s="5">
        <f t="shared" si="83"/>
        <v>0.96833103399437059</v>
      </c>
      <c r="BN62" s="8">
        <f t="shared" si="84"/>
        <v>0.92599786788492555</v>
      </c>
      <c r="BO62" s="9">
        <f t="shared" si="85"/>
        <v>7.5997867884925574E-2</v>
      </c>
      <c r="BP62" s="10">
        <f t="shared" si="86"/>
        <v>-0.92554774751349889</v>
      </c>
      <c r="BQ62" s="10">
        <f t="shared" si="87"/>
        <v>0.93211123422761843</v>
      </c>
    </row>
    <row r="63" spans="2:69">
      <c r="B63">
        <f t="shared" si="88"/>
        <v>9400</v>
      </c>
      <c r="C63">
        <f t="shared" si="46"/>
        <v>177.60000000000053</v>
      </c>
      <c r="D63">
        <f t="shared" si="52"/>
        <v>637.60000000000059</v>
      </c>
      <c r="E63">
        <f t="shared" si="89"/>
        <v>637.2000000000005</v>
      </c>
      <c r="F63">
        <f t="shared" si="95"/>
        <v>763.46380129855436</v>
      </c>
      <c r="G63">
        <f t="shared" si="90"/>
        <v>760.65706688125238</v>
      </c>
      <c r="H63">
        <f t="shared" si="53"/>
        <v>0.93197886959424525</v>
      </c>
      <c r="I63">
        <f t="shared" si="91"/>
        <v>0.93204505191093179</v>
      </c>
      <c r="K63">
        <f t="shared" si="92"/>
        <v>-7.3383402721346825E-3</v>
      </c>
      <c r="L63">
        <f t="shared" si="93"/>
        <v>4.4050167025979645E-3</v>
      </c>
      <c r="M63">
        <f t="shared" si="48"/>
        <v>217931877.50198257</v>
      </c>
      <c r="N63">
        <f t="shared" si="96"/>
        <v>591479.86078485416</v>
      </c>
      <c r="O63">
        <f t="shared" si="97"/>
        <v>769.07727881198923</v>
      </c>
      <c r="Q63" s="2">
        <f t="shared" si="42"/>
        <v>2.2547386319764806</v>
      </c>
      <c r="R63" s="2">
        <f t="shared" si="54"/>
        <v>3.6133631922700013E-2</v>
      </c>
      <c r="W63" s="2">
        <f t="shared" si="55"/>
        <v>155872.6336474212</v>
      </c>
      <c r="X63" s="2">
        <f t="shared" si="43"/>
        <v>1209.4754300000006</v>
      </c>
      <c r="Y63" s="2">
        <f t="shared" si="56"/>
        <v>128.87622995981084</v>
      </c>
      <c r="Z63" s="2">
        <f t="shared" si="44"/>
        <v>5.185051187910914</v>
      </c>
      <c r="AA63" s="2">
        <f t="shared" si="57"/>
        <v>1.2938446158086128</v>
      </c>
      <c r="AB63" s="2">
        <f t="shared" si="58"/>
        <v>1.0731710816557605</v>
      </c>
      <c r="AC63" s="2">
        <f t="shared" si="59"/>
        <v>1.3830624310568675E-2</v>
      </c>
      <c r="AD63" s="2">
        <f t="shared" si="60"/>
        <v>2170512.3034066958</v>
      </c>
      <c r="AI63">
        <f t="shared" si="61"/>
        <v>2.3244281970120052E-6</v>
      </c>
      <c r="AK63">
        <f t="shared" si="62"/>
        <v>1.1921506579839679E-5</v>
      </c>
      <c r="AL63">
        <f t="shared" si="63"/>
        <v>-3.974893067614055</v>
      </c>
      <c r="AM63">
        <f t="shared" si="64"/>
        <v>15.066825990798362</v>
      </c>
      <c r="AN63">
        <f t="shared" si="65"/>
        <v>227.00924543699705</v>
      </c>
      <c r="AO63">
        <f t="shared" si="66"/>
        <v>4.4051069289049493E-3</v>
      </c>
      <c r="AQ63" s="3">
        <f t="shared" si="94"/>
        <v>177.60000000000053</v>
      </c>
      <c r="AR63" s="3">
        <f t="shared" si="67"/>
        <v>637.60000000000059</v>
      </c>
      <c r="AS63">
        <f t="shared" si="98"/>
        <v>763.46380129855436</v>
      </c>
      <c r="AV63" s="3">
        <f t="shared" si="68"/>
        <v>1.7002666666666681</v>
      </c>
      <c r="AW63" s="3">
        <f t="shared" si="69"/>
        <v>1.1378000019352523</v>
      </c>
      <c r="AX63" s="4">
        <v>0.8</v>
      </c>
      <c r="AY63" s="5">
        <f t="shared" si="70"/>
        <v>0.22585133742931346</v>
      </c>
      <c r="AZ63" s="5">
        <f t="shared" si="71"/>
        <v>-9.3319569727150511E-2</v>
      </c>
      <c r="BA63" s="5">
        <f t="shared" si="72"/>
        <v>9.0976347081297999E-3</v>
      </c>
      <c r="BB63" s="5">
        <f t="shared" si="73"/>
        <v>-2.2907372065613951E-5</v>
      </c>
      <c r="BC63" s="5">
        <f t="shared" si="74"/>
        <v>6.5996892902657183E-3</v>
      </c>
      <c r="BD63" s="5">
        <f t="shared" si="75"/>
        <v>0.96389070824175538</v>
      </c>
      <c r="BE63" s="6">
        <f t="shared" si="76"/>
        <v>0.92216235153721471</v>
      </c>
      <c r="BF63" s="7">
        <f t="shared" si="77"/>
        <v>0.12216235153721466</v>
      </c>
      <c r="BG63" s="5">
        <v>0.85</v>
      </c>
      <c r="BH63" s="5">
        <f t="shared" si="78"/>
        <v>0.21256596463935387</v>
      </c>
      <c r="BI63" s="5">
        <f t="shared" si="79"/>
        <v>-8.7830183272612258E-2</v>
      </c>
      <c r="BJ63" s="5">
        <f t="shared" si="80"/>
        <v>8.0588044473398936E-3</v>
      </c>
      <c r="BK63" s="5">
        <f t="shared" si="81"/>
        <v>-1.6917281508682373E-5</v>
      </c>
      <c r="BL63" s="5">
        <f t="shared" si="82"/>
        <v>5.8224118182626213E-3</v>
      </c>
      <c r="BM63" s="5">
        <f t="shared" si="83"/>
        <v>0.96794707033945204</v>
      </c>
      <c r="BN63" s="8">
        <f t="shared" si="84"/>
        <v>0.92588132491803332</v>
      </c>
      <c r="BO63" s="9">
        <f t="shared" si="85"/>
        <v>7.5881324918033344E-2</v>
      </c>
      <c r="BP63" s="10">
        <f t="shared" si="86"/>
        <v>-0.92562053238362763</v>
      </c>
      <c r="BQ63" s="10">
        <f t="shared" si="87"/>
        <v>0.93197886959424525</v>
      </c>
    </row>
    <row r="64" spans="2:69">
      <c r="B64">
        <f t="shared" si="88"/>
        <v>9600</v>
      </c>
      <c r="C64">
        <f t="shared" si="46"/>
        <v>178.40000000000055</v>
      </c>
      <c r="D64">
        <f t="shared" si="52"/>
        <v>638.40000000000055</v>
      </c>
      <c r="E64">
        <f t="shared" si="89"/>
        <v>638.00000000000057</v>
      </c>
      <c r="F64">
        <f t="shared" si="95"/>
        <v>769.07727881198923</v>
      </c>
      <c r="G64">
        <f t="shared" si="90"/>
        <v>766.27054005527179</v>
      </c>
      <c r="H64">
        <f t="shared" si="53"/>
        <v>0.9318505154034088</v>
      </c>
      <c r="I64">
        <f t="shared" si="91"/>
        <v>0.93191469249882708</v>
      </c>
      <c r="K64">
        <f t="shared" si="92"/>
        <v>-7.3301638164969618E-3</v>
      </c>
      <c r="L64">
        <f t="shared" si="93"/>
        <v>4.4051069289049493E-3</v>
      </c>
      <c r="M64">
        <f t="shared" si="48"/>
        <v>218422808.11851636</v>
      </c>
      <c r="N64">
        <f t="shared" si="96"/>
        <v>600146.11506669025</v>
      </c>
      <c r="O64">
        <f t="shared" si="97"/>
        <v>774.69098037003778</v>
      </c>
      <c r="Q64" s="2">
        <f t="shared" si="42"/>
        <v>2.2687831223995509</v>
      </c>
      <c r="R64" s="2">
        <f t="shared" si="54"/>
        <v>3.6358703884608191E-2</v>
      </c>
      <c r="W64" s="2">
        <f t="shared" si="55"/>
        <v>156166.08694160552</v>
      </c>
      <c r="X64" s="2">
        <f t="shared" si="43"/>
        <v>1210.2754300000006</v>
      </c>
      <c r="Y64" s="2">
        <f t="shared" si="56"/>
        <v>129.03351011728415</v>
      </c>
      <c r="Z64" s="2">
        <f t="shared" si="44"/>
        <v>5.1831125269548854</v>
      </c>
      <c r="AA64" s="2">
        <f t="shared" si="57"/>
        <v>1.2942757740052335</v>
      </c>
      <c r="AB64" s="2">
        <f t="shared" si="58"/>
        <v>1.073644895779658</v>
      </c>
      <c r="AC64" s="2">
        <f t="shared" si="59"/>
        <v>1.38536169521955E-2</v>
      </c>
      <c r="AD64" s="2">
        <f t="shared" si="60"/>
        <v>2166909.9364789068</v>
      </c>
      <c r="AI64">
        <f t="shared" si="61"/>
        <v>2.328292429263643E-6</v>
      </c>
      <c r="AK64">
        <f t="shared" si="62"/>
        <v>1.1939304373214054E-5</v>
      </c>
      <c r="AL64">
        <f t="shared" si="63"/>
        <v>-3.9748201206762874</v>
      </c>
      <c r="AM64">
        <f t="shared" si="64"/>
        <v>15.066671788357489</v>
      </c>
      <c r="AN64">
        <f t="shared" si="65"/>
        <v>227.00459877808746</v>
      </c>
      <c r="AO64">
        <f t="shared" si="66"/>
        <v>4.4051970990137013E-3</v>
      </c>
      <c r="AQ64" s="3">
        <f t="shared" si="94"/>
        <v>178.40000000000055</v>
      </c>
      <c r="AR64" s="3">
        <f t="shared" si="67"/>
        <v>638.40000000000055</v>
      </c>
      <c r="AS64">
        <f t="shared" si="98"/>
        <v>769.07727881198923</v>
      </c>
      <c r="AV64" s="3">
        <f t="shared" si="68"/>
        <v>1.7024000000000015</v>
      </c>
      <c r="AW64" s="3">
        <f t="shared" si="69"/>
        <v>1.1461658402563177</v>
      </c>
      <c r="AX64" s="4">
        <v>0.8</v>
      </c>
      <c r="AY64" s="5">
        <f t="shared" si="70"/>
        <v>0.22722683921904777</v>
      </c>
      <c r="AZ64" s="5">
        <f t="shared" si="71"/>
        <v>-9.3613021179676292E-2</v>
      </c>
      <c r="BA64" s="5">
        <f t="shared" si="72"/>
        <v>9.2285492465322798E-3</v>
      </c>
      <c r="BB64" s="5">
        <f t="shared" si="73"/>
        <v>-2.3589000120777043E-5</v>
      </c>
      <c r="BC64" s="5">
        <f t="shared" si="74"/>
        <v>6.6581240371877551E-3</v>
      </c>
      <c r="BD64" s="5">
        <f t="shared" si="75"/>
        <v>0.96345769637908929</v>
      </c>
      <c r="BE64" s="6">
        <f t="shared" si="76"/>
        <v>0.92205393791405188</v>
      </c>
      <c r="BF64" s="7">
        <f t="shared" si="77"/>
        <v>0.12205393791405184</v>
      </c>
      <c r="BG64" s="5">
        <v>0.85</v>
      </c>
      <c r="BH64" s="5">
        <f t="shared" si="78"/>
        <v>0.2138605545591038</v>
      </c>
      <c r="BI64" s="5">
        <f t="shared" si="79"/>
        <v>-8.8106372874989458E-2</v>
      </c>
      <c r="BJ64" s="5">
        <f t="shared" si="80"/>
        <v>8.1747702668244441E-3</v>
      </c>
      <c r="BK64" s="5">
        <f t="shared" si="81"/>
        <v>-1.7420669398850674E-5</v>
      </c>
      <c r="BL64" s="5">
        <f t="shared" si="82"/>
        <v>5.873683023480669E-3</v>
      </c>
      <c r="BM64" s="5">
        <f t="shared" si="83"/>
        <v>0.96756187868119869</v>
      </c>
      <c r="BN64" s="8">
        <f t="shared" si="84"/>
        <v>0.92576896984221058</v>
      </c>
      <c r="BO64" s="9">
        <f t="shared" si="85"/>
        <v>7.5768969842210598E-2</v>
      </c>
      <c r="BP64" s="10">
        <f t="shared" si="86"/>
        <v>-0.92569936143682596</v>
      </c>
      <c r="BQ64" s="10">
        <f t="shared" si="87"/>
        <v>0.9318505154034088</v>
      </c>
    </row>
    <row r="65" spans="2:69">
      <c r="B65">
        <f t="shared" si="88"/>
        <v>9800</v>
      </c>
      <c r="C65">
        <f t="shared" si="46"/>
        <v>179.20000000000056</v>
      </c>
      <c r="D65">
        <f t="shared" si="52"/>
        <v>639.2000000000005</v>
      </c>
      <c r="E65">
        <f t="shared" si="89"/>
        <v>638.80000000000052</v>
      </c>
      <c r="F65">
        <f t="shared" si="95"/>
        <v>774.69098037003778</v>
      </c>
      <c r="G65">
        <f t="shared" si="90"/>
        <v>771.88412959101356</v>
      </c>
      <c r="H65">
        <f t="shared" si="53"/>
        <v>0.93172612470287808</v>
      </c>
      <c r="I65">
        <f t="shared" si="91"/>
        <v>0.93178832005314338</v>
      </c>
      <c r="K65">
        <f t="shared" si="92"/>
        <v>-7.3219767972537951E-3</v>
      </c>
      <c r="L65">
        <f t="shared" si="93"/>
        <v>4.4051970990137013E-3</v>
      </c>
      <c r="M65">
        <f t="shared" si="48"/>
        <v>218916018.19443977</v>
      </c>
      <c r="N65">
        <f t="shared" si="96"/>
        <v>608876.0734158596</v>
      </c>
      <c r="O65">
        <f t="shared" si="97"/>
        <v>780.3051155899592</v>
      </c>
      <c r="Q65" s="2">
        <f t="shared" si="42"/>
        <v>2.2827880492098886</v>
      </c>
      <c r="R65" s="2">
        <f t="shared" si="54"/>
        <v>3.658314181426104E-2</v>
      </c>
      <c r="W65" s="2">
        <f t="shared" si="55"/>
        <v>156459.72416141929</v>
      </c>
      <c r="X65" s="2">
        <f t="shared" si="43"/>
        <v>1211.0754300000006</v>
      </c>
      <c r="Y65" s="2">
        <f t="shared" si="56"/>
        <v>129.1907343553483</v>
      </c>
      <c r="Z65" s="2">
        <f t="shared" si="44"/>
        <v>5.1811787187171454</v>
      </c>
      <c r="AA65" s="2">
        <f t="shared" si="57"/>
        <v>1.294705852957307</v>
      </c>
      <c r="AB65" s="2">
        <f t="shared" si="58"/>
        <v>1.0741170956342707</v>
      </c>
      <c r="AC65" s="2">
        <f t="shared" si="59"/>
        <v>1.3876597636862531E-2</v>
      </c>
      <c r="AD65" s="2">
        <f t="shared" si="60"/>
        <v>2163321.3713813792</v>
      </c>
      <c r="AI65">
        <f t="shared" si="61"/>
        <v>2.3321546519823869E-6</v>
      </c>
      <c r="AK65">
        <f t="shared" si="62"/>
        <v>1.1957089903729981E-5</v>
      </c>
      <c r="AL65">
        <f t="shared" si="63"/>
        <v>-3.9747472362376226</v>
      </c>
      <c r="AM65">
        <f t="shared" si="64"/>
        <v>15.066517684919614</v>
      </c>
      <c r="AN65">
        <f t="shared" si="65"/>
        <v>226.99995514999549</v>
      </c>
      <c r="AO65">
        <f t="shared" si="66"/>
        <v>4.4052872139962616E-3</v>
      </c>
      <c r="AQ65" s="3">
        <f t="shared" si="94"/>
        <v>179.20000000000056</v>
      </c>
      <c r="AR65" s="3">
        <f t="shared" si="67"/>
        <v>639.2000000000005</v>
      </c>
      <c r="AS65">
        <f t="shared" si="98"/>
        <v>774.69098037003778</v>
      </c>
      <c r="AV65" s="3">
        <f t="shared" si="68"/>
        <v>1.7045333333333346</v>
      </c>
      <c r="AW65" s="3">
        <f t="shared" si="69"/>
        <v>1.1545320124739757</v>
      </c>
      <c r="AX65" s="4">
        <v>0.8</v>
      </c>
      <c r="AY65" s="5">
        <f t="shared" si="70"/>
        <v>0.22859896406248037</v>
      </c>
      <c r="AZ65" s="5">
        <f t="shared" si="71"/>
        <v>-9.3902700291028596E-2</v>
      </c>
      <c r="BA65" s="5">
        <f t="shared" si="72"/>
        <v>9.3603024621404778E-3</v>
      </c>
      <c r="BB65" s="5">
        <f t="shared" si="73"/>
        <v>-2.4284690411585222E-5</v>
      </c>
      <c r="BC65" s="5">
        <f t="shared" si="74"/>
        <v>6.7164263020528239E-3</v>
      </c>
      <c r="BD65" s="5">
        <f t="shared" si="75"/>
        <v>0.96302332367146348</v>
      </c>
      <c r="BE65" s="6">
        <f t="shared" si="76"/>
        <v>0.92194996204212076</v>
      </c>
      <c r="BF65" s="7">
        <f t="shared" si="77"/>
        <v>0.12194996204212072</v>
      </c>
      <c r="BG65" s="5">
        <v>0.85</v>
      </c>
      <c r="BH65" s="5">
        <f t="shared" si="78"/>
        <v>0.21515196617645213</v>
      </c>
      <c r="BI65" s="5">
        <f t="shared" si="79"/>
        <v>-8.837901203861516E-2</v>
      </c>
      <c r="BJ65" s="5">
        <f t="shared" si="80"/>
        <v>8.2914789976054077E-3</v>
      </c>
      <c r="BK65" s="5">
        <f t="shared" si="81"/>
        <v>-1.7934442364983516E-5</v>
      </c>
      <c r="BL65" s="5">
        <f t="shared" si="82"/>
        <v>5.9248316483954105E-3</v>
      </c>
      <c r="BM65" s="5">
        <f t="shared" si="83"/>
        <v>0.96717545660290649</v>
      </c>
      <c r="BN65" s="8">
        <f t="shared" si="84"/>
        <v>0.92566075315618734</v>
      </c>
      <c r="BO65" s="9">
        <f t="shared" si="85"/>
        <v>7.5660753156187366E-2</v>
      </c>
      <c r="BP65" s="10">
        <f t="shared" si="86"/>
        <v>-0.92578417771866828</v>
      </c>
      <c r="BQ65" s="10">
        <f t="shared" si="87"/>
        <v>0.93172612470287808</v>
      </c>
    </row>
    <row r="66" spans="2:69">
      <c r="B66">
        <f t="shared" si="88"/>
        <v>10000</v>
      </c>
      <c r="C66">
        <f t="shared" si="46"/>
        <v>180.00000000000057</v>
      </c>
      <c r="D66">
        <f t="shared" si="52"/>
        <v>640.00000000000057</v>
      </c>
      <c r="E66">
        <f t="shared" si="89"/>
        <v>639.60000000000059</v>
      </c>
      <c r="F66">
        <f t="shared" si="95"/>
        <v>780.3051155899592</v>
      </c>
      <c r="G66">
        <f t="shared" si="90"/>
        <v>777.49804797999855</v>
      </c>
      <c r="H66">
        <f t="shared" si="53"/>
        <v>0.93160565162360909</v>
      </c>
      <c r="I66">
        <f t="shared" si="91"/>
        <v>0.93166588816324358</v>
      </c>
      <c r="K66">
        <f t="shared" si="92"/>
        <v>-7.3137795930295676E-3</v>
      </c>
      <c r="L66">
        <f t="shared" si="93"/>
        <v>4.4052872139962616E-3</v>
      </c>
      <c r="M66">
        <f t="shared" si="48"/>
        <v>219411498.85330942</v>
      </c>
      <c r="N66">
        <f t="shared" si="96"/>
        <v>617670.07121227868</v>
      </c>
      <c r="O66">
        <f t="shared" si="97"/>
        <v>785.91988854607735</v>
      </c>
      <c r="Q66" s="2">
        <f t="shared" si="42"/>
        <v>2.2967540743560355</v>
      </c>
      <c r="R66" s="2">
        <f t="shared" si="54"/>
        <v>3.6806956319808265E-2</v>
      </c>
      <c r="W66" s="2">
        <f t="shared" si="55"/>
        <v>156753.54519172938</v>
      </c>
      <c r="X66" s="2">
        <f t="shared" si="43"/>
        <v>1211.8754300000005</v>
      </c>
      <c r="Y66" s="2">
        <f t="shared" si="56"/>
        <v>129.34790268974206</v>
      </c>
      <c r="Z66" s="2">
        <f t="shared" si="44"/>
        <v>5.1792497449999981</v>
      </c>
      <c r="AA66" s="2">
        <f t="shared" si="57"/>
        <v>1.2951348567120005</v>
      </c>
      <c r="AB66" s="2">
        <f t="shared" si="58"/>
        <v>1.0745877078681574</v>
      </c>
      <c r="AC66" s="2">
        <f t="shared" si="59"/>
        <v>1.3899566626892339E-2</v>
      </c>
      <c r="AD66" s="2">
        <f t="shared" si="60"/>
        <v>2159746.4896354699</v>
      </c>
      <c r="AI66">
        <f t="shared" si="61"/>
        <v>2.3360149092551822E-6</v>
      </c>
      <c r="AK66">
        <f t="shared" si="62"/>
        <v>1.1974863384531304E-5</v>
      </c>
      <c r="AL66">
        <f t="shared" si="63"/>
        <v>-3.9746744133954173</v>
      </c>
      <c r="AM66">
        <f t="shared" si="64"/>
        <v>15.066363678690728</v>
      </c>
      <c r="AN66">
        <f t="shared" si="65"/>
        <v>226.99531449857119</v>
      </c>
      <c r="AO66">
        <f t="shared" si="66"/>
        <v>4.4053772748965459E-3</v>
      </c>
      <c r="AQ66" s="3">
        <f t="shared" si="94"/>
        <v>180.00000000000057</v>
      </c>
      <c r="AR66" s="3">
        <f t="shared" si="67"/>
        <v>640.00000000000057</v>
      </c>
      <c r="AS66">
        <f t="shared" si="98"/>
        <v>780.3051155899592</v>
      </c>
      <c r="AV66" s="3">
        <f t="shared" si="68"/>
        <v>1.7066666666666681</v>
      </c>
      <c r="AW66" s="3">
        <f t="shared" si="69"/>
        <v>1.1628988309835457</v>
      </c>
      <c r="AX66" s="4">
        <v>0.8</v>
      </c>
      <c r="AY66" s="5">
        <f t="shared" si="70"/>
        <v>0.22996778640055451</v>
      </c>
      <c r="AZ66" s="5">
        <f t="shared" si="71"/>
        <v>-9.4188661872982568E-2</v>
      </c>
      <c r="BA66" s="5">
        <f t="shared" si="72"/>
        <v>9.4928967650746085E-3</v>
      </c>
      <c r="BB66" s="5">
        <f t="shared" si="73"/>
        <v>-2.4994624524978097E-5</v>
      </c>
      <c r="BC66" s="5">
        <f t="shared" si="74"/>
        <v>6.7745974573464752E-3</v>
      </c>
      <c r="BD66" s="5">
        <f t="shared" si="75"/>
        <v>0.96258758766811159</v>
      </c>
      <c r="BE66" s="6">
        <f t="shared" si="76"/>
        <v>0.92185037294050665</v>
      </c>
      <c r="BF66" s="7">
        <f t="shared" si="77"/>
        <v>0.1218503729405066</v>
      </c>
      <c r="BG66" s="5">
        <v>0.85</v>
      </c>
      <c r="BH66" s="5">
        <f t="shared" si="78"/>
        <v>0.2164402695534631</v>
      </c>
      <c r="BI66" s="5">
        <f t="shared" si="79"/>
        <v>-8.8648152351042425E-2</v>
      </c>
      <c r="BJ66" s="5">
        <f t="shared" si="80"/>
        <v>8.4089327745989623E-3</v>
      </c>
      <c r="BK66" s="5">
        <f t="shared" si="81"/>
        <v>-1.8458734510520042E-5</v>
      </c>
      <c r="BL66" s="5">
        <f t="shared" si="82"/>
        <v>5.9758588997884006E-3</v>
      </c>
      <c r="BM66" s="5">
        <f t="shared" si="83"/>
        <v>0.96678780172717049</v>
      </c>
      <c r="BN66" s="8">
        <f t="shared" si="84"/>
        <v>0.92555662664722527</v>
      </c>
      <c r="BO66" s="9">
        <f t="shared" si="85"/>
        <v>7.5556626647225289E-2</v>
      </c>
      <c r="BP66" s="10">
        <f t="shared" si="86"/>
        <v>-0.92587492586562747</v>
      </c>
      <c r="BQ66" s="10">
        <f t="shared" si="87"/>
        <v>0.93160565162360909</v>
      </c>
    </row>
  </sheetData>
  <conditionalFormatting sqref="O1:O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{839EA9FB-9BA9-4502-8297-644E64311E1D}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9EA9FB-9BA9-4502-8297-644E64311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F7A2-CC7F-4DA2-99AE-11C8DD1C949E}">
  <dimension ref="B4:BQ66"/>
  <sheetViews>
    <sheetView workbookViewId="0">
      <selection activeCell="O64" sqref="O64"/>
    </sheetView>
  </sheetViews>
  <sheetFormatPr defaultRowHeight="14.4"/>
  <sheetData>
    <row r="4" spans="2:69">
      <c r="F4" s="11" t="s">
        <v>33</v>
      </c>
      <c r="G4" s="11">
        <v>10000</v>
      </c>
      <c r="H4" s="11" t="s">
        <v>78</v>
      </c>
    </row>
    <row r="5" spans="2:69">
      <c r="F5" s="11" t="s">
        <v>35</v>
      </c>
      <c r="G5" s="11">
        <v>3.48</v>
      </c>
      <c r="H5" s="11" t="s">
        <v>36</v>
      </c>
    </row>
    <row r="6" spans="2:69">
      <c r="F6" s="11" t="s">
        <v>1</v>
      </c>
      <c r="G6" s="11">
        <v>500</v>
      </c>
      <c r="H6" s="11" t="s">
        <v>37</v>
      </c>
    </row>
    <row r="7" spans="2:69" ht="16.2">
      <c r="F7" s="11" t="s">
        <v>38</v>
      </c>
      <c r="G7" s="11">
        <v>140</v>
      </c>
      <c r="H7" s="11" t="s">
        <v>39</v>
      </c>
    </row>
    <row r="8" spans="2:69" ht="16.2">
      <c r="F8" s="11" t="s">
        <v>40</v>
      </c>
      <c r="G8" s="11">
        <v>180</v>
      </c>
      <c r="H8" s="11" t="s">
        <v>39</v>
      </c>
    </row>
    <row r="9" spans="2:69" ht="15.6">
      <c r="F9" s="12" t="s">
        <v>59</v>
      </c>
      <c r="G9" s="11">
        <v>0.65</v>
      </c>
      <c r="H9" s="11"/>
    </row>
    <row r="12" spans="2:69">
      <c r="AQ12" s="11" t="s">
        <v>14</v>
      </c>
      <c r="AR12" s="11">
        <v>0.32650000000000001</v>
      </c>
      <c r="AS12" s="11" t="s">
        <v>15</v>
      </c>
      <c r="AT12" s="11">
        <v>-1.07</v>
      </c>
      <c r="AU12" s="11" t="s">
        <v>16</v>
      </c>
      <c r="AV12" s="11">
        <f>-0.5339</f>
        <v>-0.53390000000000004</v>
      </c>
      <c r="AW12" s="11" t="s">
        <v>17</v>
      </c>
      <c r="AX12" s="11">
        <f>0.01569</f>
        <v>1.5689999999999999E-2</v>
      </c>
      <c r="AY12" s="11" t="s">
        <v>18</v>
      </c>
      <c r="AZ12" s="11">
        <f>-0.05165</f>
        <v>-5.1650000000000001E-2</v>
      </c>
      <c r="BA12" s="11" t="s">
        <v>19</v>
      </c>
      <c r="BB12" s="11">
        <v>0.54749999999999999</v>
      </c>
      <c r="BC12" s="11" t="s">
        <v>20</v>
      </c>
      <c r="BD12" s="11">
        <v>-0.73609999999999998</v>
      </c>
    </row>
    <row r="13" spans="2:69">
      <c r="AQ13" s="11" t="s">
        <v>21</v>
      </c>
      <c r="AR13" s="11">
        <f>0.1844</f>
        <v>0.18440000000000001</v>
      </c>
      <c r="AS13" s="11" t="s">
        <v>22</v>
      </c>
      <c r="AT13" s="11">
        <f>0.1056</f>
        <v>0.1056</v>
      </c>
      <c r="AU13" s="11" t="s">
        <v>23</v>
      </c>
      <c r="AV13" s="11">
        <f>0.6134</f>
        <v>0.61339999999999995</v>
      </c>
      <c r="AW13" s="11" t="s">
        <v>24</v>
      </c>
      <c r="AX13" s="11">
        <v>0.72099999999999997</v>
      </c>
    </row>
    <row r="15" spans="2:69" s="15" customFormat="1" ht="31.8">
      <c r="B15" s="13" t="s">
        <v>0</v>
      </c>
      <c r="C15" s="14" t="s">
        <v>44</v>
      </c>
      <c r="D15" s="14" t="s">
        <v>45</v>
      </c>
      <c r="E15" s="14" t="s">
        <v>69</v>
      </c>
      <c r="F15" s="13" t="s">
        <v>1</v>
      </c>
      <c r="G15" s="14" t="s">
        <v>46</v>
      </c>
      <c r="H15" s="13" t="s">
        <v>3</v>
      </c>
      <c r="I15" s="14" t="s">
        <v>47</v>
      </c>
      <c r="J15" s="14" t="s">
        <v>34</v>
      </c>
      <c r="K15" s="13" t="s">
        <v>2</v>
      </c>
      <c r="L15" s="14" t="s">
        <v>48</v>
      </c>
      <c r="M15" s="14" t="s">
        <v>49</v>
      </c>
      <c r="N15" s="14" t="s">
        <v>68</v>
      </c>
      <c r="O15" s="14" t="s">
        <v>50</v>
      </c>
      <c r="Q15" s="16" t="s">
        <v>64</v>
      </c>
      <c r="R15" s="16" t="s">
        <v>65</v>
      </c>
      <c r="S15" s="16" t="s">
        <v>66</v>
      </c>
      <c r="T15" s="16" t="s">
        <v>67</v>
      </c>
      <c r="U15" s="14" t="s">
        <v>34</v>
      </c>
      <c r="V15" s="13" t="s">
        <v>29</v>
      </c>
      <c r="W15" s="13" t="s">
        <v>14</v>
      </c>
      <c r="X15" s="13" t="s">
        <v>15</v>
      </c>
      <c r="Y15" s="13" t="s">
        <v>30</v>
      </c>
      <c r="Z15" s="13" t="s">
        <v>31</v>
      </c>
      <c r="AA15" s="13" t="s">
        <v>32</v>
      </c>
      <c r="AB15" s="14" t="s">
        <v>51</v>
      </c>
      <c r="AC15" s="13" t="s">
        <v>41</v>
      </c>
      <c r="AD15" s="14" t="s">
        <v>52</v>
      </c>
      <c r="AG15" s="13" t="s">
        <v>28</v>
      </c>
      <c r="AH15" s="13" t="s">
        <v>25</v>
      </c>
      <c r="AI15" s="13" t="s">
        <v>26</v>
      </c>
      <c r="AJ15" s="13" t="s">
        <v>42</v>
      </c>
      <c r="AK15" s="13" t="s">
        <v>43</v>
      </c>
      <c r="AL15" s="13" t="s">
        <v>27</v>
      </c>
      <c r="AM15" s="14" t="s">
        <v>53</v>
      </c>
      <c r="AN15" s="14" t="s">
        <v>54</v>
      </c>
      <c r="AO15" s="14" t="s">
        <v>48</v>
      </c>
      <c r="AQ15" s="16" t="s">
        <v>70</v>
      </c>
      <c r="AR15" s="16" t="s">
        <v>71</v>
      </c>
      <c r="AS15" s="17" t="s">
        <v>72</v>
      </c>
      <c r="AT15" s="16" t="s">
        <v>73</v>
      </c>
      <c r="AU15" s="14" t="s">
        <v>55</v>
      </c>
      <c r="AV15" s="14" t="s">
        <v>56</v>
      </c>
      <c r="AW15" s="14" t="s">
        <v>57</v>
      </c>
      <c r="AX15" s="13" t="s">
        <v>3</v>
      </c>
      <c r="AY15" s="14" t="s">
        <v>58</v>
      </c>
      <c r="AZ15" s="13" t="s">
        <v>4</v>
      </c>
      <c r="BA15" s="13" t="s">
        <v>5</v>
      </c>
      <c r="BB15" s="13" t="s">
        <v>6</v>
      </c>
      <c r="BC15" s="13" t="s">
        <v>7</v>
      </c>
      <c r="BD15" s="13" t="s">
        <v>8</v>
      </c>
      <c r="BE15" s="13" t="s">
        <v>9</v>
      </c>
      <c r="BF15" s="13" t="s">
        <v>10</v>
      </c>
      <c r="BG15" s="13" t="s">
        <v>3</v>
      </c>
      <c r="BH15" s="14" t="s">
        <v>58</v>
      </c>
      <c r="BI15" s="13" t="s">
        <v>4</v>
      </c>
      <c r="BJ15" s="13" t="s">
        <v>5</v>
      </c>
      <c r="BK15" s="13" t="s">
        <v>6</v>
      </c>
      <c r="BL15" s="13" t="s">
        <v>7</v>
      </c>
      <c r="BM15" s="13" t="s">
        <v>8</v>
      </c>
      <c r="BN15" s="13" t="s">
        <v>11</v>
      </c>
      <c r="BO15" s="13" t="s">
        <v>12</v>
      </c>
      <c r="BP15" s="13" t="s">
        <v>13</v>
      </c>
      <c r="BQ15" s="13" t="s">
        <v>3</v>
      </c>
    </row>
    <row r="16" spans="2:69">
      <c r="B16">
        <v>0</v>
      </c>
      <c r="C16">
        <f>G7</f>
        <v>140</v>
      </c>
      <c r="D16">
        <f t="shared" ref="D16:D66" si="0">460+C16</f>
        <v>600</v>
      </c>
      <c r="F16">
        <f>G6</f>
        <v>500</v>
      </c>
      <c r="H16">
        <f t="shared" ref="H16:H66" si="1">BQ16</f>
        <v>0.94303052326056158</v>
      </c>
      <c r="J16">
        <f>G9</f>
        <v>0.65</v>
      </c>
      <c r="Q16" s="2">
        <f>(F16*$V$16)/(BQ16*10.73*D16)</f>
        <v>1.5507976490808908</v>
      </c>
      <c r="R16" s="2">
        <f t="shared" ref="R16:R66" si="2">Q16/62.4</f>
        <v>2.4852526427578379E-2</v>
      </c>
      <c r="S16" s="2">
        <v>375</v>
      </c>
      <c r="T16" s="2">
        <v>671</v>
      </c>
      <c r="U16" s="2">
        <f>G9</f>
        <v>0.65</v>
      </c>
      <c r="V16" s="2">
        <f>28.97*G9</f>
        <v>18.830500000000001</v>
      </c>
      <c r="W16" s="2">
        <f t="shared" ref="W16:W66" si="3">(9.379+0.01607*$V$16)*D16^1.5</f>
        <v>142289.96952809498</v>
      </c>
      <c r="X16" s="2">
        <f>209.2+19.26*$V$16+D16</f>
        <v>1171.8754300000001</v>
      </c>
      <c r="Y16" s="2">
        <f t="shared" ref="Y16:Y66" si="4">W16/X16</f>
        <v>121.42072944399472</v>
      </c>
      <c r="Z16" s="2">
        <f>3.448+(986.4/D16)+0.01009*$V$16</f>
        <v>5.2819997449999994</v>
      </c>
      <c r="AA16" s="2">
        <f t="shared" ref="AA16:AA66" si="5">2.447-(0.2224*Z16)</f>
        <v>1.2722832567120004</v>
      </c>
      <c r="AB16" s="2">
        <f t="shared" ref="AB16:AB66" si="6">EXP(Z16*R16^AA16)</f>
        <v>1.0491722728353319</v>
      </c>
      <c r="AC16" s="2">
        <f t="shared" ref="AC16:AC66" si="7">(Y16*10^-4)*AB16</f>
        <v>1.2739126268007984E-2</v>
      </c>
      <c r="AD16" s="2">
        <f t="shared" ref="AD16:AD66" si="8">(20.09*$U$16*$G$4)/($G$5*AC16)</f>
        <v>2945604.3136641281</v>
      </c>
      <c r="AG16">
        <v>5.9999999999999995E-4</v>
      </c>
      <c r="AH16">
        <f>AG16/3.7065</f>
        <v>1.6187778227438283E-4</v>
      </c>
      <c r="AI16">
        <f t="shared" ref="AI16:AI66" si="9">5.0452/AD16</f>
        <v>1.712789452607815E-6</v>
      </c>
      <c r="AJ16">
        <f>(AG16^1.1098)/2.8257</f>
        <v>9.4029950191445224E-5</v>
      </c>
      <c r="AK16">
        <f t="shared" ref="AK16:AK66" si="10">(7.149/AD16)^0.8981</f>
        <v>9.062169191296575E-6</v>
      </c>
      <c r="AL16">
        <f t="shared" ref="AL16:AL66" si="11">LOG($AJ$16+AK16)</f>
        <v>-3.9867745319948384</v>
      </c>
      <c r="AM16">
        <f t="shared" ref="AM16:AM66" si="12">-4*LOG($AH$16-AI16*AL16)</f>
        <v>15.091474924233991</v>
      </c>
      <c r="AN16">
        <f t="shared" ref="AN16:AN66" si="13">AM16^2</f>
        <v>227.75261538878334</v>
      </c>
      <c r="AO16">
        <f t="shared" ref="AO16:AO66" si="14">1/AN16</f>
        <v>4.3907289419836421E-3</v>
      </c>
      <c r="AQ16" s="3">
        <f>E16</f>
        <v>0</v>
      </c>
      <c r="AR16" s="3">
        <f t="shared" ref="AR16:AR66" si="15">D16</f>
        <v>600</v>
      </c>
      <c r="AS16" s="3">
        <f>G6</f>
        <v>500</v>
      </c>
      <c r="AT16" s="3">
        <f>S16</f>
        <v>375</v>
      </c>
      <c r="AU16" s="3">
        <f>T16</f>
        <v>671</v>
      </c>
      <c r="AV16" s="3">
        <f t="shared" ref="AV16:AV66" si="16">AR16/$AT$16</f>
        <v>1.6</v>
      </c>
      <c r="AW16" s="3">
        <f t="shared" ref="AW16:AW66" si="17">AS16/$AU$16</f>
        <v>0.7451564828614009</v>
      </c>
      <c r="AX16" s="4">
        <v>0.8</v>
      </c>
      <c r="AY16" s="5">
        <f t="shared" ref="AY16:AY66" si="18">0.27*AW16/AX16/AV16</f>
        <v>0.15718144560357675</v>
      </c>
      <c r="AZ16" s="5">
        <f t="shared" ref="AZ16:AZ66" si="19">($AR$12+$AT$12/AV16+$AV$12/AV16^3+$AX$12/AV16^4+$AZ$12/AV16^5)*AY16</f>
        <v>-7.4681353595679609E-2</v>
      </c>
      <c r="BA16" s="5">
        <f t="shared" ref="BA16:BA66" si="20">($BB$12+$BD$12/AV16+$AR$13/AV16^2)*AY16^2</f>
        <v>3.9398360285899962E-3</v>
      </c>
      <c r="BB16" s="5">
        <f t="shared" ref="BB16:BB66" si="21">$AT$13*($BD$12/AV16+$AR$13/AV16^2)*AY16^5</f>
        <v>-3.9313074953399843E-6</v>
      </c>
      <c r="BC16" s="5">
        <f t="shared" ref="BC16:BC66" si="22">$AV$13*(1+$AX$13*AY16^2)*(AY16^2/AV16^3)</f>
        <v>3.7657751723990979E-3</v>
      </c>
      <c r="BD16" s="5">
        <f t="shared" ref="BD16:BD66" si="23">EXP(-$AX$13*AY16^2)</f>
        <v>0.98234468325804625</v>
      </c>
      <c r="BE16" s="6">
        <f t="shared" ref="BE16:BE66" si="24">1+AZ16+BA16-BB16+BC16*BD16</f>
        <v>0.9329617029593571</v>
      </c>
      <c r="BF16" s="7">
        <f t="shared" ref="BF16:BF66" si="25">BE16-AX16</f>
        <v>0.13296170295935705</v>
      </c>
      <c r="BG16" s="5">
        <v>0.85</v>
      </c>
      <c r="BH16" s="5">
        <f t="shared" ref="BH16:BH66" si="26">0.27*AW16/BG16/AV16</f>
        <v>0.14793547821513106</v>
      </c>
      <c r="BI16" s="5">
        <f t="shared" ref="BI16:BI66" si="27">($AR$12+$AT$12/AV16+$AV$12/AV16^3+$AX$12/AV16^4+$AZ$12/AV16^5)*BH16</f>
        <v>-7.0288332795933758E-2</v>
      </c>
      <c r="BJ16" s="5">
        <f t="shared" ref="BJ16:BJ66" si="28">($BB$12+$BD$12/AV16+$AR$13/AV16^2)*BH16^2</f>
        <v>3.4899585581973673E-3</v>
      </c>
      <c r="BK16" s="5">
        <f t="shared" ref="BK16:BK66" si="29">$AT$13*($BD$12/AV16+$AR$13/AV16^2)*BH16^5</f>
        <v>-2.9033027186777404E-6</v>
      </c>
      <c r="BL16" s="5">
        <f t="shared" ref="BL16:BL66" si="30">$AV$13*(1+$AX$13*BH16^2)*(BH16^2/AV16^3)</f>
        <v>3.3291069004137432E-3</v>
      </c>
      <c r="BM16" s="5">
        <f t="shared" ref="BM16:BM66" si="31">EXP(-$AX$13*BH16^2)</f>
        <v>0.98434481947379804</v>
      </c>
      <c r="BN16" s="8">
        <f t="shared" ref="BN16:BN66" si="32">1+BI16+BJ16-BK16+(BL16*BM16)</f>
        <v>0.93648151819587899</v>
      </c>
      <c r="BO16" s="9">
        <f t="shared" ref="BO16:BO66" si="33">BN16-BG16</f>
        <v>8.6481518195879015E-2</v>
      </c>
      <c r="BP16" s="10">
        <f t="shared" ref="BP16:BP66" si="34">(BO16-BF16)/(BG16-AX16)</f>
        <v>-0.92960369526956199</v>
      </c>
      <c r="BQ16" s="10">
        <f t="shared" ref="BQ16:BQ66" si="35">AX16-BF16/BP16</f>
        <v>0.94303052326056158</v>
      </c>
    </row>
    <row r="17" spans="2:69">
      <c r="B17">
        <f t="shared" ref="B17:B66" si="36">B16+200</f>
        <v>200</v>
      </c>
      <c r="C17">
        <f>(C16+((180-140)/10000)*200)</f>
        <v>140.80000000000001</v>
      </c>
      <c r="D17">
        <f t="shared" si="0"/>
        <v>600.79999999999995</v>
      </c>
      <c r="E17">
        <f t="shared" ref="E17:E66" si="37">AVERAGE(D16:D17)</f>
        <v>600.4</v>
      </c>
      <c r="F17">
        <f>G6</f>
        <v>500</v>
      </c>
      <c r="G17">
        <f t="shared" ref="G17:G66" si="38">AVERAGE(F16:F17)</f>
        <v>500</v>
      </c>
      <c r="H17">
        <f t="shared" si="1"/>
        <v>0.94330241660840397</v>
      </c>
      <c r="I17">
        <f t="shared" ref="I17:I66" si="39">AVERAGE(H16:H17)</f>
        <v>0.94316646993448283</v>
      </c>
      <c r="K17">
        <f t="shared" ref="K17:K66" si="40">(-0.0375*$J$16*SIN(90)*200)/(I17*E17)</f>
        <v>-7.6962910232606556E-3</v>
      </c>
      <c r="L17">
        <f t="shared" ref="L17:L66" si="41">AO16</f>
        <v>4.3907289419836421E-3</v>
      </c>
      <c r="M17">
        <f>(L17*(I17*E17*$G$4)^2)/(SIN(90)*$G$5^5)</f>
        <v>308576310.75917119</v>
      </c>
      <c r="N17">
        <f>EXP(-K17)*(G17)^2-2.685*10^-3*M17*(1-EXP(-K17))</f>
        <v>258332.68495727584</v>
      </c>
      <c r="O17">
        <f>SQRT(N17)</f>
        <v>508.26438489950863</v>
      </c>
      <c r="Q17" s="2">
        <f t="shared" ref="Q17:Q66" si="42">(F17*$V$16)/(BQ17*10.73*D17)</f>
        <v>1.5482862722775319</v>
      </c>
      <c r="R17" s="2">
        <f t="shared" si="2"/>
        <v>2.4812280004447629E-2</v>
      </c>
      <c r="W17" s="2">
        <f t="shared" si="3"/>
        <v>142574.64430606135</v>
      </c>
      <c r="X17" s="2">
        <f t="shared" ref="X17:X66" si="43">209.2+19.26*$V$16+D17</f>
        <v>1172.67543</v>
      </c>
      <c r="Y17" s="2">
        <f t="shared" si="4"/>
        <v>121.58065280353094</v>
      </c>
      <c r="Z17" s="2">
        <f t="shared" ref="Z17:Z66" si="44">3.448+(986.4/D17)+0.01009*$V$16</f>
        <v>5.2798106637749669</v>
      </c>
      <c r="AA17" s="2">
        <f t="shared" si="5"/>
        <v>1.2727701083764476</v>
      </c>
      <c r="AB17" s="2">
        <f t="shared" si="6"/>
        <v>1.048957399540047</v>
      </c>
      <c r="AC17" s="2">
        <f t="shared" si="7"/>
        <v>1.2753292539917313E-2</v>
      </c>
      <c r="AD17" s="2">
        <f t="shared" si="8"/>
        <v>2942332.3561273548</v>
      </c>
      <c r="AI17">
        <f t="shared" si="9"/>
        <v>1.7146941233519935E-6</v>
      </c>
      <c r="AK17">
        <f t="shared" si="10"/>
        <v>9.0712191833306515E-6</v>
      </c>
      <c r="AL17">
        <f t="shared" si="11"/>
        <v>-3.9867364089150055</v>
      </c>
      <c r="AM17">
        <f t="shared" si="12"/>
        <v>15.091397408462607</v>
      </c>
      <c r="AN17">
        <f t="shared" si="13"/>
        <v>227.75027574015189</v>
      </c>
      <c r="AO17">
        <f t="shared" si="14"/>
        <v>4.3907740473646418E-3</v>
      </c>
      <c r="AQ17" s="3">
        <f t="shared" ref="AQ17:AQ66" si="45">C17</f>
        <v>140.80000000000001</v>
      </c>
      <c r="AR17" s="3">
        <f t="shared" si="15"/>
        <v>600.79999999999995</v>
      </c>
      <c r="AS17">
        <f>AS16</f>
        <v>500</v>
      </c>
      <c r="AV17" s="3">
        <f t="shared" si="16"/>
        <v>1.6021333333333332</v>
      </c>
      <c r="AW17" s="3">
        <f t="shared" si="17"/>
        <v>0.7451564828614009</v>
      </c>
      <c r="AX17" s="4">
        <v>0.8</v>
      </c>
      <c r="AY17" s="5">
        <f t="shared" si="18"/>
        <v>0.15697214940437096</v>
      </c>
      <c r="AZ17" s="5">
        <f t="shared" si="19"/>
        <v>-7.4357368677307467E-2</v>
      </c>
      <c r="BA17" s="5">
        <f t="shared" si="20"/>
        <v>3.939721858417438E-3</v>
      </c>
      <c r="BB17" s="5">
        <f t="shared" si="21"/>
        <v>-3.9009672889023649E-6</v>
      </c>
      <c r="BC17" s="5">
        <f t="shared" si="22"/>
        <v>3.7405958801686513E-3</v>
      </c>
      <c r="BD17" s="5">
        <f t="shared" si="23"/>
        <v>0.98239125396530558</v>
      </c>
      <c r="BE17" s="6">
        <f t="shared" si="24"/>
        <v>0.93326098282569514</v>
      </c>
      <c r="BF17" s="7">
        <f t="shared" si="25"/>
        <v>0.1332609828256951</v>
      </c>
      <c r="BG17" s="5">
        <v>0.85</v>
      </c>
      <c r="BH17" s="5">
        <f t="shared" si="26"/>
        <v>0.14773849355705501</v>
      </c>
      <c r="BI17" s="5">
        <f t="shared" si="27"/>
        <v>-6.9983405813936431E-2</v>
      </c>
      <c r="BJ17" s="5">
        <f t="shared" si="28"/>
        <v>3.4898574247573151E-3</v>
      </c>
      <c r="BK17" s="5">
        <f t="shared" si="29"/>
        <v>-2.8808962282314955E-6</v>
      </c>
      <c r="BL17" s="5">
        <f t="shared" si="30"/>
        <v>3.3068646402216692E-3</v>
      </c>
      <c r="BM17" s="5">
        <f t="shared" si="31"/>
        <v>0.98438615630121107</v>
      </c>
      <c r="BN17" s="8">
        <f t="shared" si="32"/>
        <v>0.93676456427964527</v>
      </c>
      <c r="BO17" s="9">
        <f t="shared" si="33"/>
        <v>8.6764564279645295E-2</v>
      </c>
      <c r="BP17" s="10">
        <f t="shared" si="34"/>
        <v>-0.92992837092099723</v>
      </c>
      <c r="BQ17" s="10">
        <f t="shared" si="35"/>
        <v>0.94330241660840397</v>
      </c>
    </row>
    <row r="18" spans="2:69">
      <c r="B18">
        <f t="shared" si="36"/>
        <v>400</v>
      </c>
      <c r="C18">
        <f t="shared" ref="C18:C66" si="46">(C17+((180-140)/10000)*200)</f>
        <v>141.60000000000002</v>
      </c>
      <c r="D18">
        <f t="shared" si="0"/>
        <v>601.6</v>
      </c>
      <c r="E18">
        <f t="shared" si="37"/>
        <v>601.20000000000005</v>
      </c>
      <c r="F18">
        <f t="shared" ref="F18:F66" si="47">O17</f>
        <v>508.26438489950863</v>
      </c>
      <c r="G18">
        <f t="shared" si="38"/>
        <v>504.13219244975431</v>
      </c>
      <c r="H18">
        <f t="shared" si="1"/>
        <v>0.94266148745613065</v>
      </c>
      <c r="I18">
        <f t="shared" si="39"/>
        <v>0.94298195203226731</v>
      </c>
      <c r="K18">
        <f t="shared" si="40"/>
        <v>-7.6875537514218906E-3</v>
      </c>
      <c r="L18">
        <f t="shared" si="41"/>
        <v>4.3907740473646418E-3</v>
      </c>
      <c r="M18">
        <f t="shared" ref="M18:M66" si="48">(L18*(I18*E18*$G$4)^2)/(SIN(90)*$G$5^5)</f>
        <v>309281309.95029318</v>
      </c>
      <c r="N18">
        <f t="shared" ref="N18:N66" si="49">EXP(-K18)*(O17)^2-2.685*10^-3*M18*(1-EXP(-K18))</f>
        <v>266734.78660829517</v>
      </c>
      <c r="O18">
        <f t="shared" ref="O18:O66" si="50">SQRT(N18)</f>
        <v>516.46373213256243</v>
      </c>
      <c r="Q18" s="2">
        <f t="shared" si="42"/>
        <v>1.5728532964442727</v>
      </c>
      <c r="R18" s="2">
        <f t="shared" si="2"/>
        <v>2.5205982314812064E-2</v>
      </c>
      <c r="W18" s="2">
        <f t="shared" si="3"/>
        <v>142859.50867765487</v>
      </c>
      <c r="X18" s="2">
        <f t="shared" si="43"/>
        <v>1173.47543</v>
      </c>
      <c r="Y18" s="2">
        <f t="shared" si="4"/>
        <v>121.74051967807701</v>
      </c>
      <c r="Z18" s="2">
        <f t="shared" si="44"/>
        <v>5.2776274045744671</v>
      </c>
      <c r="AA18" s="2">
        <f t="shared" si="5"/>
        <v>1.2732556652226386</v>
      </c>
      <c r="AB18" s="2">
        <f t="shared" si="6"/>
        <v>1.0498600499213</v>
      </c>
      <c r="AC18" s="2">
        <f t="shared" si="7"/>
        <v>1.2781050806667095E-2</v>
      </c>
      <c r="AD18" s="2">
        <f t="shared" si="8"/>
        <v>2935942.1110963835</v>
      </c>
      <c r="AI18">
        <f t="shared" si="9"/>
        <v>1.718426252660665E-6</v>
      </c>
      <c r="AK18">
        <f t="shared" si="10"/>
        <v>9.0889493269957185E-6</v>
      </c>
      <c r="AL18">
        <f t="shared" si="11"/>
        <v>-3.9866617304065808</v>
      </c>
      <c r="AM18">
        <f t="shared" si="12"/>
        <v>15.091245533250696</v>
      </c>
      <c r="AN18">
        <f t="shared" si="13"/>
        <v>227.74569174485907</v>
      </c>
      <c r="AO18">
        <f t="shared" si="14"/>
        <v>4.3908624235152981E-3</v>
      </c>
      <c r="AQ18" s="3">
        <f t="shared" si="45"/>
        <v>141.60000000000002</v>
      </c>
      <c r="AR18" s="3">
        <f t="shared" si="15"/>
        <v>601.6</v>
      </c>
      <c r="AS18">
        <f t="shared" ref="AS18:AS66" si="51">F18</f>
        <v>508.26438489950863</v>
      </c>
      <c r="AV18" s="3">
        <f t="shared" si="16"/>
        <v>1.6042666666666667</v>
      </c>
      <c r="AW18" s="3">
        <f t="shared" si="17"/>
        <v>0.75747300283086239</v>
      </c>
      <c r="AX18" s="4">
        <v>0.8</v>
      </c>
      <c r="AY18" s="5">
        <f t="shared" si="18"/>
        <v>0.15935451615821314</v>
      </c>
      <c r="AZ18" s="5">
        <f t="shared" si="19"/>
        <v>-7.5258786018871648E-2</v>
      </c>
      <c r="BA18" s="5">
        <f t="shared" si="20"/>
        <v>4.0708819901430606E-3</v>
      </c>
      <c r="BB18" s="5">
        <f t="shared" si="21"/>
        <v>-4.2015572332144271E-6</v>
      </c>
      <c r="BC18" s="5">
        <f t="shared" si="22"/>
        <v>3.8416908689651156E-3</v>
      </c>
      <c r="BD18" s="5">
        <f t="shared" si="23"/>
        <v>0.98185761664614934</v>
      </c>
      <c r="BE18" s="6">
        <f t="shared" si="24"/>
        <v>0.93258829096899809</v>
      </c>
      <c r="BF18" s="7">
        <f t="shared" si="25"/>
        <v>0.13258829096899805</v>
      </c>
      <c r="BG18" s="5">
        <v>0.85</v>
      </c>
      <c r="BH18" s="5">
        <f t="shared" si="26"/>
        <v>0.14998072109008298</v>
      </c>
      <c r="BI18" s="5">
        <f t="shared" si="27"/>
        <v>-7.0831798605996865E-2</v>
      </c>
      <c r="BJ18" s="5">
        <f t="shared" si="28"/>
        <v>3.6060407940367608E-3</v>
      </c>
      <c r="BK18" s="5">
        <f t="shared" si="29"/>
        <v>-3.1028843590411248E-6</v>
      </c>
      <c r="BL18" s="5">
        <f t="shared" si="30"/>
        <v>3.396033698164525E-3</v>
      </c>
      <c r="BM18" s="5">
        <f t="shared" si="31"/>
        <v>0.9839124787555692</v>
      </c>
      <c r="BN18" s="8">
        <f t="shared" si="32"/>
        <v>0.93611874500629744</v>
      </c>
      <c r="BO18" s="9">
        <f t="shared" si="33"/>
        <v>8.6118745006297459E-2</v>
      </c>
      <c r="BP18" s="10">
        <f t="shared" si="34"/>
        <v>-0.92939091925401296</v>
      </c>
      <c r="BQ18" s="10">
        <f t="shared" si="35"/>
        <v>0.94266148745613065</v>
      </c>
    </row>
    <row r="19" spans="2:69">
      <c r="B19">
        <f t="shared" si="36"/>
        <v>600</v>
      </c>
      <c r="C19">
        <f t="shared" si="46"/>
        <v>142.40000000000003</v>
      </c>
      <c r="D19">
        <f t="shared" si="0"/>
        <v>602.40000000000009</v>
      </c>
      <c r="E19">
        <f t="shared" si="37"/>
        <v>602</v>
      </c>
      <c r="F19">
        <f t="shared" si="47"/>
        <v>516.46373213256243</v>
      </c>
      <c r="G19">
        <f t="shared" si="38"/>
        <v>512.36405851603558</v>
      </c>
      <c r="H19">
        <f t="shared" si="1"/>
        <v>0.94203687617282761</v>
      </c>
      <c r="I19">
        <f t="shared" si="39"/>
        <v>0.94234918181447913</v>
      </c>
      <c r="K19">
        <f t="shared" si="40"/>
        <v>-7.6824929248357401E-3</v>
      </c>
      <c r="L19">
        <f t="shared" si="41"/>
        <v>4.3908624235152981E-3</v>
      </c>
      <c r="M19">
        <f t="shared" si="48"/>
        <v>309695154.35355163</v>
      </c>
      <c r="N19">
        <f t="shared" si="49"/>
        <v>275204.70288121398</v>
      </c>
      <c r="O19">
        <f t="shared" si="50"/>
        <v>524.59956431664523</v>
      </c>
      <c r="Q19" s="2">
        <f t="shared" si="42"/>
        <v>1.597162454128058</v>
      </c>
      <c r="R19" s="2">
        <f t="shared" si="2"/>
        <v>2.559555214948811E-2</v>
      </c>
      <c r="W19" s="2">
        <f t="shared" si="3"/>
        <v>143144.562516773</v>
      </c>
      <c r="X19" s="2">
        <f t="shared" si="43"/>
        <v>1174.2754300000001</v>
      </c>
      <c r="Y19" s="2">
        <f t="shared" si="4"/>
        <v>121.90033007569015</v>
      </c>
      <c r="Z19" s="2">
        <f t="shared" si="44"/>
        <v>5.2754499442031868</v>
      </c>
      <c r="AA19" s="2">
        <f t="shared" si="5"/>
        <v>1.2737399324092114</v>
      </c>
      <c r="AB19" s="2">
        <f t="shared" si="6"/>
        <v>1.0507539605432741</v>
      </c>
      <c r="AC19" s="2">
        <f t="shared" si="7"/>
        <v>1.2808725461856383E-2</v>
      </c>
      <c r="AD19" s="2">
        <f t="shared" si="8"/>
        <v>2929598.6863877918</v>
      </c>
      <c r="AI19">
        <f t="shared" si="9"/>
        <v>1.722147140303628E-6</v>
      </c>
      <c r="AK19">
        <f t="shared" si="10"/>
        <v>9.1066221594117518E-6</v>
      </c>
      <c r="AL19">
        <f t="shared" si="11"/>
        <v>-3.9865873060672206</v>
      </c>
      <c r="AM19">
        <f t="shared" si="12"/>
        <v>15.091094133918215</v>
      </c>
      <c r="AN19">
        <f t="shared" si="13"/>
        <v>227.74112215878077</v>
      </c>
      <c r="AO19">
        <f t="shared" si="14"/>
        <v>4.3909505254075346E-3</v>
      </c>
      <c r="AQ19" s="3">
        <f t="shared" si="45"/>
        <v>142.40000000000003</v>
      </c>
      <c r="AR19" s="3">
        <f t="shared" si="15"/>
        <v>602.40000000000009</v>
      </c>
      <c r="AS19">
        <f t="shared" si="51"/>
        <v>516.46373213256243</v>
      </c>
      <c r="AV19" s="3">
        <f t="shared" si="16"/>
        <v>1.6064000000000003</v>
      </c>
      <c r="AW19" s="3">
        <f t="shared" si="17"/>
        <v>0.76969259632274578</v>
      </c>
      <c r="AX19" s="4">
        <v>0.8</v>
      </c>
      <c r="AY19" s="5">
        <f t="shared" si="18"/>
        <v>0.16171019127174219</v>
      </c>
      <c r="AZ19" s="5">
        <f t="shared" si="19"/>
        <v>-7.6141698519242199E-2</v>
      </c>
      <c r="BA19" s="5">
        <f t="shared" si="20"/>
        <v>4.2030895123836608E-3</v>
      </c>
      <c r="BB19" s="5">
        <f t="shared" si="21"/>
        <v>-4.5165303773922511E-6</v>
      </c>
      <c r="BC19" s="5">
        <f t="shared" si="22"/>
        <v>3.9424803986512578E-3</v>
      </c>
      <c r="BD19" s="5">
        <f t="shared" si="23"/>
        <v>0.98132234611549829</v>
      </c>
      <c r="BE19" s="6">
        <f t="shared" si="24"/>
        <v>0.93193475163783768</v>
      </c>
      <c r="BF19" s="7">
        <f t="shared" si="25"/>
        <v>0.13193475163783763</v>
      </c>
      <c r="BG19" s="5">
        <v>0.85</v>
      </c>
      <c r="BH19" s="5">
        <f t="shared" si="26"/>
        <v>0.15219782707928678</v>
      </c>
      <c r="BI19" s="5">
        <f t="shared" si="27"/>
        <v>-7.1662775076933846E-2</v>
      </c>
      <c r="BJ19" s="5">
        <f t="shared" si="28"/>
        <v>3.723151955606289E-3</v>
      </c>
      <c r="BK19" s="5">
        <f t="shared" si="29"/>
        <v>-3.3354946005157283E-6</v>
      </c>
      <c r="BL19" s="5">
        <f t="shared" si="30"/>
        <v>3.4849214964300605E-3</v>
      </c>
      <c r="BM19" s="5">
        <f t="shared" si="31"/>
        <v>0.98343732197435463</v>
      </c>
      <c r="BN19" s="8">
        <f t="shared" si="32"/>
        <v>0.93549091423701292</v>
      </c>
      <c r="BO19" s="9">
        <f t="shared" si="33"/>
        <v>8.5490914237012938E-2</v>
      </c>
      <c r="BP19" s="10">
        <f t="shared" si="34"/>
        <v>-0.92887674801649511</v>
      </c>
      <c r="BQ19" s="10">
        <f t="shared" si="35"/>
        <v>0.94203687617282761</v>
      </c>
    </row>
    <row r="20" spans="2:69">
      <c r="B20">
        <f t="shared" si="36"/>
        <v>800</v>
      </c>
      <c r="C20">
        <f t="shared" si="46"/>
        <v>143.20000000000005</v>
      </c>
      <c r="D20">
        <f t="shared" si="0"/>
        <v>603.20000000000005</v>
      </c>
      <c r="E20">
        <f t="shared" si="37"/>
        <v>602.80000000000007</v>
      </c>
      <c r="F20">
        <f t="shared" si="47"/>
        <v>524.59956431664523</v>
      </c>
      <c r="G20">
        <f t="shared" si="38"/>
        <v>520.53164822460383</v>
      </c>
      <c r="H20">
        <f t="shared" si="1"/>
        <v>0.94142824069964803</v>
      </c>
      <c r="I20">
        <f t="shared" si="39"/>
        <v>0.94173255843623782</v>
      </c>
      <c r="K20">
        <f t="shared" si="40"/>
        <v>-7.6773208130635996E-3</v>
      </c>
      <c r="L20">
        <f t="shared" si="41"/>
        <v>4.3909505254075346E-3</v>
      </c>
      <c r="M20">
        <f t="shared" si="48"/>
        <v>310118792.50781757</v>
      </c>
      <c r="N20">
        <f t="shared" si="49"/>
        <v>283742.93784191733</v>
      </c>
      <c r="O20">
        <f t="shared" si="50"/>
        <v>532.67526490528667</v>
      </c>
      <c r="Q20" s="2">
        <f t="shared" si="42"/>
        <v>1.6212183121303219</v>
      </c>
      <c r="R20" s="2">
        <f t="shared" si="2"/>
        <v>2.5981062694396186E-2</v>
      </c>
      <c r="W20" s="2">
        <f t="shared" si="3"/>
        <v>143429.80569756631</v>
      </c>
      <c r="X20" s="2">
        <f t="shared" si="43"/>
        <v>1175.0754300000001</v>
      </c>
      <c r="Y20" s="2">
        <f t="shared" si="4"/>
        <v>122.06008400462113</v>
      </c>
      <c r="Z20" s="2">
        <f t="shared" si="44"/>
        <v>5.2732782595888592</v>
      </c>
      <c r="AA20" s="2">
        <f t="shared" si="5"/>
        <v>1.2742229150674378</v>
      </c>
      <c r="AB20" s="2">
        <f t="shared" si="6"/>
        <v>1.0516391936190508</v>
      </c>
      <c r="AC20" s="2">
        <f t="shared" si="7"/>
        <v>1.2836316831569338E-2</v>
      </c>
      <c r="AD20" s="2">
        <f t="shared" si="8"/>
        <v>2923301.5809542523</v>
      </c>
      <c r="AI20">
        <f t="shared" si="9"/>
        <v>1.7258568301232532E-6</v>
      </c>
      <c r="AK20">
        <f t="shared" si="10"/>
        <v>9.1242379333335659E-6</v>
      </c>
      <c r="AL20">
        <f t="shared" si="11"/>
        <v>-3.9865131347043379</v>
      </c>
      <c r="AM20">
        <f t="shared" si="12"/>
        <v>15.0909432085089</v>
      </c>
      <c r="AN20">
        <f t="shared" si="13"/>
        <v>227.73656692244089</v>
      </c>
      <c r="AO20">
        <f t="shared" si="14"/>
        <v>4.3910383541548911E-3</v>
      </c>
      <c r="AQ20" s="3">
        <f t="shared" si="45"/>
        <v>143.20000000000005</v>
      </c>
      <c r="AR20" s="3">
        <f t="shared" si="15"/>
        <v>603.20000000000005</v>
      </c>
      <c r="AS20">
        <f t="shared" si="51"/>
        <v>524.59956431664523</v>
      </c>
      <c r="AV20" s="3">
        <f t="shared" si="16"/>
        <v>1.6085333333333334</v>
      </c>
      <c r="AW20" s="3">
        <f t="shared" si="17"/>
        <v>0.78181753251362929</v>
      </c>
      <c r="AX20" s="4">
        <v>0.8</v>
      </c>
      <c r="AY20" s="5">
        <f t="shared" si="18"/>
        <v>0.16403975706027221</v>
      </c>
      <c r="AZ20" s="5">
        <f t="shared" si="19"/>
        <v>-7.70065257249824E-2</v>
      </c>
      <c r="BA20" s="5">
        <f t="shared" si="20"/>
        <v>4.33631594311193E-3</v>
      </c>
      <c r="BB20" s="5">
        <f t="shared" si="21"/>
        <v>-4.8461137445776298E-6</v>
      </c>
      <c r="BC20" s="5">
        <f t="shared" si="22"/>
        <v>4.0429376618560187E-3</v>
      </c>
      <c r="BD20" s="5">
        <f t="shared" si="23"/>
        <v>0.98078557704275515</v>
      </c>
      <c r="BE20" s="6">
        <f t="shared" si="24"/>
        <v>0.93129989127950552</v>
      </c>
      <c r="BF20" s="7">
        <f t="shared" si="25"/>
        <v>0.13129989127950548</v>
      </c>
      <c r="BG20" s="5">
        <v>0.85</v>
      </c>
      <c r="BH20" s="5">
        <f t="shared" si="26"/>
        <v>0.15439035958613859</v>
      </c>
      <c r="BI20" s="5">
        <f t="shared" si="27"/>
        <v>-7.2476730094101091E-2</v>
      </c>
      <c r="BJ20" s="5">
        <f t="shared" si="28"/>
        <v>3.8411656797116074E-3</v>
      </c>
      <c r="BK20" s="5">
        <f t="shared" si="29"/>
        <v>-3.578894611101144E-6</v>
      </c>
      <c r="BL20" s="5">
        <f t="shared" si="30"/>
        <v>3.5735044033306249E-3</v>
      </c>
      <c r="BM20" s="5">
        <f t="shared" si="31"/>
        <v>0.98296080522526674</v>
      </c>
      <c r="BN20" s="8">
        <f t="shared" si="32"/>
        <v>0.93488062924599558</v>
      </c>
      <c r="BO20" s="9">
        <f t="shared" si="33"/>
        <v>8.4880629245995598E-2</v>
      </c>
      <c r="BP20" s="10">
        <f t="shared" si="34"/>
        <v>-0.92838524067019879</v>
      </c>
      <c r="BQ20" s="10">
        <f t="shared" si="35"/>
        <v>0.94142824069964803</v>
      </c>
    </row>
    <row r="21" spans="2:69">
      <c r="B21">
        <f t="shared" si="36"/>
        <v>1000</v>
      </c>
      <c r="C21">
        <f t="shared" si="46"/>
        <v>144.00000000000006</v>
      </c>
      <c r="D21">
        <f t="shared" si="0"/>
        <v>604</v>
      </c>
      <c r="E21">
        <f t="shared" si="37"/>
        <v>603.6</v>
      </c>
      <c r="F21">
        <f t="shared" si="47"/>
        <v>532.67526490528667</v>
      </c>
      <c r="G21">
        <f t="shared" si="38"/>
        <v>528.63741461096595</v>
      </c>
      <c r="H21">
        <f t="shared" si="1"/>
        <v>0.94083504177414434</v>
      </c>
      <c r="I21">
        <f t="shared" si="39"/>
        <v>0.94113164123689619</v>
      </c>
      <c r="K21">
        <f t="shared" si="40"/>
        <v>-7.672040947780785E-3</v>
      </c>
      <c r="L21">
        <f t="shared" si="41"/>
        <v>4.3910383541548911E-3</v>
      </c>
      <c r="M21">
        <f t="shared" si="48"/>
        <v>310551995.80261773</v>
      </c>
      <c r="N21">
        <f t="shared" si="49"/>
        <v>292349.99398730771</v>
      </c>
      <c r="O21">
        <f t="shared" si="50"/>
        <v>540.69399292696767</v>
      </c>
      <c r="Q21" s="2">
        <f t="shared" si="42"/>
        <v>1.6450315712158505</v>
      </c>
      <c r="R21" s="2">
        <f t="shared" si="2"/>
        <v>2.6362685436151452E-2</v>
      </c>
      <c r="W21" s="2">
        <f t="shared" si="3"/>
        <v>143715.23809443437</v>
      </c>
      <c r="X21" s="2">
        <f t="shared" si="43"/>
        <v>1175.8754300000001</v>
      </c>
      <c r="Y21" s="2">
        <f t="shared" si="4"/>
        <v>122.21978147330995</v>
      </c>
      <c r="Z21" s="2">
        <f t="shared" si="44"/>
        <v>5.2711123277814567</v>
      </c>
      <c r="AA21" s="2">
        <f t="shared" si="5"/>
        <v>1.2747046183014041</v>
      </c>
      <c r="AB21" s="2">
        <f t="shared" si="6"/>
        <v>1.0525160745689137</v>
      </c>
      <c r="AC21" s="2">
        <f t="shared" si="7"/>
        <v>1.2863828463095865E-2</v>
      </c>
      <c r="AD21" s="2">
        <f t="shared" si="8"/>
        <v>2917049.5700411052</v>
      </c>
      <c r="AI21">
        <f t="shared" si="9"/>
        <v>1.7295557990565469E-6</v>
      </c>
      <c r="AK21">
        <f t="shared" si="10"/>
        <v>9.1417989569309768E-6</v>
      </c>
      <c r="AL21">
        <f t="shared" si="11"/>
        <v>-3.9864392064744298</v>
      </c>
      <c r="AM21">
        <f t="shared" si="12"/>
        <v>15.090792737451093</v>
      </c>
      <c r="AN21">
        <f t="shared" si="13"/>
        <v>227.73202544470664</v>
      </c>
      <c r="AO21">
        <f t="shared" si="14"/>
        <v>4.391125921122588E-3</v>
      </c>
      <c r="AQ21" s="3">
        <f t="shared" si="45"/>
        <v>144.00000000000006</v>
      </c>
      <c r="AR21" s="3">
        <f t="shared" si="15"/>
        <v>604</v>
      </c>
      <c r="AS21">
        <f t="shared" si="51"/>
        <v>532.67526490528667</v>
      </c>
      <c r="AV21" s="3">
        <f t="shared" si="16"/>
        <v>1.6106666666666667</v>
      </c>
      <c r="AW21" s="3">
        <f t="shared" si="17"/>
        <v>0.79385285380817683</v>
      </c>
      <c r="AX21" s="4">
        <v>0.8</v>
      </c>
      <c r="AY21" s="5">
        <f t="shared" si="18"/>
        <v>0.16634437385777709</v>
      </c>
      <c r="AZ21" s="5">
        <f t="shared" si="19"/>
        <v>-7.7853953349834276E-2</v>
      </c>
      <c r="BA21" s="5">
        <f t="shared" si="20"/>
        <v>4.4705659754619926E-3</v>
      </c>
      <c r="BB21" s="5">
        <f t="shared" si="21"/>
        <v>-5.1906182587722025E-6</v>
      </c>
      <c r="BC21" s="5">
        <f t="shared" si="22"/>
        <v>4.1430678215139969E-3</v>
      </c>
      <c r="BD21" s="5">
        <f t="shared" si="23"/>
        <v>0.98024729730234506</v>
      </c>
      <c r="BE21" s="6">
        <f t="shared" si="24"/>
        <v>0.93068303427846599</v>
      </c>
      <c r="BF21" s="7">
        <f t="shared" si="25"/>
        <v>0.13068303427846595</v>
      </c>
      <c r="BG21" s="5">
        <v>0.85</v>
      </c>
      <c r="BH21" s="5">
        <f t="shared" si="26"/>
        <v>0.15655941068967258</v>
      </c>
      <c r="BI21" s="5">
        <f t="shared" si="27"/>
        <v>-7.3274309035138152E-2</v>
      </c>
      <c r="BJ21" s="5">
        <f t="shared" si="28"/>
        <v>3.9600861235926316E-3</v>
      </c>
      <c r="BK21" s="5">
        <f t="shared" si="29"/>
        <v>-3.8333140107139836E-6</v>
      </c>
      <c r="BL21" s="5">
        <f t="shared" si="30"/>
        <v>3.6617869946201759E-3</v>
      </c>
      <c r="BM21" s="5">
        <f t="shared" si="31"/>
        <v>0.98248291747532634</v>
      </c>
      <c r="BN21" s="8">
        <f t="shared" si="32"/>
        <v>0.93428725357211273</v>
      </c>
      <c r="BO21" s="9">
        <f t="shared" si="33"/>
        <v>8.4287253572112752E-2</v>
      </c>
      <c r="BP21" s="10">
        <f t="shared" si="34"/>
        <v>-0.92791561412706514</v>
      </c>
      <c r="BQ21" s="10">
        <f t="shared" si="35"/>
        <v>0.94083504177414434</v>
      </c>
    </row>
    <row r="22" spans="2:69">
      <c r="B22">
        <f t="shared" si="36"/>
        <v>1200</v>
      </c>
      <c r="C22">
        <f t="shared" si="46"/>
        <v>144.80000000000007</v>
      </c>
      <c r="D22">
        <f t="shared" si="0"/>
        <v>604.80000000000007</v>
      </c>
      <c r="E22">
        <f t="shared" si="37"/>
        <v>604.40000000000009</v>
      </c>
      <c r="F22">
        <f t="shared" si="47"/>
        <v>540.69399292696767</v>
      </c>
      <c r="G22">
        <f t="shared" si="38"/>
        <v>536.68462891612717</v>
      </c>
      <c r="H22">
        <f t="shared" si="1"/>
        <v>0.94025677347793934</v>
      </c>
      <c r="I22">
        <f t="shared" si="39"/>
        <v>0.94054590762604184</v>
      </c>
      <c r="K22">
        <f t="shared" si="40"/>
        <v>-7.6666575392169804E-3</v>
      </c>
      <c r="L22">
        <f t="shared" si="41"/>
        <v>4.391125921122588E-3</v>
      </c>
      <c r="M22">
        <f t="shared" si="48"/>
        <v>310994480.34911013</v>
      </c>
      <c r="N22">
        <f t="shared" si="49"/>
        <v>301026.37194036396</v>
      </c>
      <c r="O22">
        <f t="shared" si="50"/>
        <v>548.65870260150245</v>
      </c>
      <c r="Q22" s="2">
        <f t="shared" si="42"/>
        <v>1.6686122258094835</v>
      </c>
      <c r="R22" s="2">
        <f t="shared" si="2"/>
        <v>2.6740580541818645E-2</v>
      </c>
      <c r="W22" s="2">
        <f t="shared" si="3"/>
        <v>144000.85958202751</v>
      </c>
      <c r="X22" s="2">
        <f t="shared" si="43"/>
        <v>1176.6754300000002</v>
      </c>
      <c r="Y22" s="2">
        <f t="shared" si="4"/>
        <v>122.37942249038673</v>
      </c>
      <c r="Z22" s="2">
        <f t="shared" si="44"/>
        <v>5.2689521259523806</v>
      </c>
      <c r="AA22" s="2">
        <f t="shared" si="5"/>
        <v>1.2751850471881907</v>
      </c>
      <c r="AB22" s="2">
        <f t="shared" si="6"/>
        <v>1.053384909054395</v>
      </c>
      <c r="AC22" s="2">
        <f t="shared" si="7"/>
        <v>1.2891263683016541E-2</v>
      </c>
      <c r="AD22" s="2">
        <f t="shared" si="8"/>
        <v>2910841.4977805843</v>
      </c>
      <c r="AI22">
        <f t="shared" si="9"/>
        <v>1.7332444943659043E-6</v>
      </c>
      <c r="AK22">
        <f t="shared" si="10"/>
        <v>9.1593073952612092E-6</v>
      </c>
      <c r="AL22">
        <f t="shared" si="11"/>
        <v>-3.9863655121433923</v>
      </c>
      <c r="AM22">
        <f t="shared" si="12"/>
        <v>15.090642702390005</v>
      </c>
      <c r="AN22">
        <f t="shared" si="13"/>
        <v>227.72749717119672</v>
      </c>
      <c r="AO22">
        <f t="shared" si="14"/>
        <v>4.3912132369690899E-3</v>
      </c>
      <c r="AQ22" s="3">
        <f t="shared" si="45"/>
        <v>144.80000000000007</v>
      </c>
      <c r="AR22" s="3">
        <f t="shared" si="15"/>
        <v>604.80000000000007</v>
      </c>
      <c r="AS22">
        <f t="shared" si="51"/>
        <v>540.69399292696767</v>
      </c>
      <c r="AV22" s="3">
        <f t="shared" si="16"/>
        <v>1.6128000000000002</v>
      </c>
      <c r="AW22" s="3">
        <f t="shared" si="17"/>
        <v>0.80580326814749281</v>
      </c>
      <c r="AX22" s="4">
        <v>0.8</v>
      </c>
      <c r="AY22" s="5">
        <f t="shared" si="18"/>
        <v>0.16862512586791839</v>
      </c>
      <c r="AZ22" s="5">
        <f t="shared" si="19"/>
        <v>-7.8684624014557503E-2</v>
      </c>
      <c r="BA22" s="5">
        <f t="shared" si="20"/>
        <v>4.6058442623683298E-3</v>
      </c>
      <c r="BB22" s="5">
        <f t="shared" si="21"/>
        <v>-5.5503566089255457E-6</v>
      </c>
      <c r="BC22" s="5">
        <f t="shared" si="22"/>
        <v>4.2428759263970035E-3</v>
      </c>
      <c r="BD22" s="5">
        <f t="shared" si="23"/>
        <v>0.97970749511105759</v>
      </c>
      <c r="BE22" s="6">
        <f t="shared" si="24"/>
        <v>0.9300835479503371</v>
      </c>
      <c r="BF22" s="7">
        <f t="shared" si="25"/>
        <v>0.13008354795033705</v>
      </c>
      <c r="BG22" s="5">
        <v>0.85</v>
      </c>
      <c r="BH22" s="5">
        <f t="shared" si="26"/>
        <v>0.1587060008168644</v>
      </c>
      <c r="BI22" s="5">
        <f t="shared" si="27"/>
        <v>-7.4056116719583537E-2</v>
      </c>
      <c r="BJ22" s="5">
        <f t="shared" si="28"/>
        <v>4.0799174088799054E-3</v>
      </c>
      <c r="BK22" s="5">
        <f t="shared" si="29"/>
        <v>-4.0989837226993401E-6</v>
      </c>
      <c r="BL22" s="5">
        <f t="shared" si="30"/>
        <v>3.7497737440503769E-3</v>
      </c>
      <c r="BM22" s="5">
        <f t="shared" si="31"/>
        <v>0.98200364799180562</v>
      </c>
      <c r="BN22" s="8">
        <f t="shared" si="32"/>
        <v>0.93371019116882037</v>
      </c>
      <c r="BO22" s="9">
        <f t="shared" si="33"/>
        <v>8.3710191168820391E-2</v>
      </c>
      <c r="BP22" s="10">
        <f t="shared" si="34"/>
        <v>-0.92746713563033445</v>
      </c>
      <c r="BQ22" s="10">
        <f t="shared" si="35"/>
        <v>0.94025677347793934</v>
      </c>
    </row>
    <row r="23" spans="2:69">
      <c r="B23">
        <f t="shared" si="36"/>
        <v>1400</v>
      </c>
      <c r="C23">
        <f t="shared" si="46"/>
        <v>145.60000000000008</v>
      </c>
      <c r="D23">
        <f t="shared" si="0"/>
        <v>605.60000000000014</v>
      </c>
      <c r="E23">
        <f t="shared" si="37"/>
        <v>605.20000000000005</v>
      </c>
      <c r="F23">
        <f t="shared" si="47"/>
        <v>548.65870260150245</v>
      </c>
      <c r="G23">
        <f t="shared" si="38"/>
        <v>544.67634776423506</v>
      </c>
      <c r="H23">
        <f t="shared" si="1"/>
        <v>0.93969296039923311</v>
      </c>
      <c r="I23">
        <f t="shared" si="39"/>
        <v>0.93997486693858623</v>
      </c>
      <c r="K23">
        <f t="shared" si="40"/>
        <v>-7.6611745467799579E-3</v>
      </c>
      <c r="L23">
        <f t="shared" si="41"/>
        <v>4.3912132369690899E-3</v>
      </c>
      <c r="M23">
        <f t="shared" si="48"/>
        <v>311445981.05594635</v>
      </c>
      <c r="N23">
        <f t="shared" si="49"/>
        <v>309772.57064878487</v>
      </c>
      <c r="O23">
        <f t="shared" si="50"/>
        <v>556.57216122330885</v>
      </c>
      <c r="Q23" s="2">
        <f t="shared" si="42"/>
        <v>1.6919696252253615</v>
      </c>
      <c r="R23" s="2">
        <f t="shared" si="2"/>
        <v>2.7114897840150025E-2</v>
      </c>
      <c r="W23" s="2">
        <f t="shared" si="3"/>
        <v>144286.67003524394</v>
      </c>
      <c r="X23" s="2">
        <f t="shared" si="43"/>
        <v>1177.4754300000002</v>
      </c>
      <c r="Y23" s="2">
        <f t="shared" si="4"/>
        <v>122.53900706466878</v>
      </c>
      <c r="Z23" s="2">
        <f t="shared" si="44"/>
        <v>5.2667976313936586</v>
      </c>
      <c r="AA23" s="2">
        <f t="shared" si="5"/>
        <v>1.2756642067780504</v>
      </c>
      <c r="AB23" s="2">
        <f t="shared" si="6"/>
        <v>1.0542459845832</v>
      </c>
      <c r="AC23" s="2">
        <f t="shared" si="7"/>
        <v>1.2918625615273942E-2</v>
      </c>
      <c r="AD23" s="2">
        <f t="shared" si="8"/>
        <v>2904676.2716763355</v>
      </c>
      <c r="AI23">
        <f t="shared" si="9"/>
        <v>1.7369233360688191E-6</v>
      </c>
      <c r="AK23">
        <f t="shared" si="10"/>
        <v>9.1767652819781093E-6</v>
      </c>
      <c r="AL23">
        <f t="shared" si="11"/>
        <v>-3.9862920430366793</v>
      </c>
      <c r="AM23">
        <f t="shared" si="12"/>
        <v>15.090493086088099</v>
      </c>
      <c r="AN23">
        <f t="shared" si="13"/>
        <v>227.72298158127271</v>
      </c>
      <c r="AO23">
        <f t="shared" si="14"/>
        <v>4.391300311703969E-3</v>
      </c>
      <c r="AQ23" s="3">
        <f t="shared" si="45"/>
        <v>145.60000000000008</v>
      </c>
      <c r="AR23" s="3">
        <f t="shared" si="15"/>
        <v>605.60000000000014</v>
      </c>
      <c r="AS23">
        <f t="shared" si="51"/>
        <v>548.65870260150245</v>
      </c>
      <c r="AV23" s="3">
        <f t="shared" si="16"/>
        <v>1.6149333333333338</v>
      </c>
      <c r="AW23" s="3">
        <f t="shared" si="17"/>
        <v>0.81767317824366981</v>
      </c>
      <c r="AX23" s="4">
        <v>0.8</v>
      </c>
      <c r="AY23" s="5">
        <f t="shared" si="18"/>
        <v>0.17088302777652647</v>
      </c>
      <c r="AZ23" s="5">
        <f t="shared" si="19"/>
        <v>-7.9499140925308479E-2</v>
      </c>
      <c r="BA23" s="5">
        <f t="shared" si="20"/>
        <v>4.7421554115233177E-3</v>
      </c>
      <c r="BB23" s="5">
        <f t="shared" si="21"/>
        <v>-5.9256433121199492E-6</v>
      </c>
      <c r="BC23" s="5">
        <f t="shared" si="22"/>
        <v>4.3423669089055188E-3</v>
      </c>
      <c r="BD23" s="5">
        <f t="shared" si="23"/>
        <v>0.9791661590448234</v>
      </c>
      <c r="BE23" s="6">
        <f t="shared" si="24"/>
        <v>0.92950083885688328</v>
      </c>
      <c r="BF23" s="7">
        <f t="shared" si="25"/>
        <v>0.12950083885688324</v>
      </c>
      <c r="BG23" s="5">
        <v>0.85</v>
      </c>
      <c r="BH23" s="5">
        <f t="shared" si="26"/>
        <v>0.16083108496614257</v>
      </c>
      <c r="BI23" s="5">
        <f t="shared" si="27"/>
        <v>-7.4822720870878573E-2</v>
      </c>
      <c r="BJ23" s="5">
        <f t="shared" si="28"/>
        <v>4.200663617127922E-3</v>
      </c>
      <c r="BK23" s="5">
        <f t="shared" si="29"/>
        <v>-4.376136020493252E-6</v>
      </c>
      <c r="BL23" s="5">
        <f t="shared" si="30"/>
        <v>3.8374690214715E-3</v>
      </c>
      <c r="BM23" s="5">
        <f t="shared" si="31"/>
        <v>0.98152298635719348</v>
      </c>
      <c r="BN23" s="8">
        <f t="shared" si="32"/>
        <v>0.93314888293627762</v>
      </c>
      <c r="BO23" s="9">
        <f t="shared" si="33"/>
        <v>8.3148882936277646E-2</v>
      </c>
      <c r="BP23" s="10">
        <f t="shared" si="34"/>
        <v>-0.92703911841211306</v>
      </c>
      <c r="BQ23" s="10">
        <f t="shared" si="35"/>
        <v>0.93969296039923311</v>
      </c>
    </row>
    <row r="24" spans="2:69">
      <c r="B24">
        <f t="shared" si="36"/>
        <v>1600</v>
      </c>
      <c r="C24">
        <f t="shared" si="46"/>
        <v>146.40000000000009</v>
      </c>
      <c r="D24">
        <f t="shared" si="0"/>
        <v>606.40000000000009</v>
      </c>
      <c r="E24">
        <f t="shared" si="37"/>
        <v>606.00000000000011</v>
      </c>
      <c r="F24">
        <f t="shared" si="47"/>
        <v>556.57216122330885</v>
      </c>
      <c r="G24">
        <f t="shared" si="38"/>
        <v>552.61543191240571</v>
      </c>
      <c r="H24">
        <f t="shared" si="1"/>
        <v>0.93914315505589663</v>
      </c>
      <c r="I24">
        <f t="shared" si="39"/>
        <v>0.93941805772756481</v>
      </c>
      <c r="K24">
        <f t="shared" si="40"/>
        <v>-7.6555957000849677E-3</v>
      </c>
      <c r="L24">
        <f t="shared" si="41"/>
        <v>4.391300311703969E-3</v>
      </c>
      <c r="M24">
        <f t="shared" si="48"/>
        <v>311906250.00469816</v>
      </c>
      <c r="N24">
        <f t="shared" si="49"/>
        <v>318589.08756620763</v>
      </c>
      <c r="O24">
        <f t="shared" si="50"/>
        <v>564.43696509549022</v>
      </c>
      <c r="Q24" s="2">
        <f t="shared" si="42"/>
        <v>1.7151125295887808</v>
      </c>
      <c r="R24" s="2">
        <f t="shared" si="2"/>
        <v>2.7485777717768924E-2</v>
      </c>
      <c r="W24" s="2">
        <f t="shared" si="3"/>
        <v>144572.66932922983</v>
      </c>
      <c r="X24" s="2">
        <f t="shared" si="43"/>
        <v>1178.2754300000001</v>
      </c>
      <c r="Y24" s="2">
        <f t="shared" si="4"/>
        <v>122.69853520515981</v>
      </c>
      <c r="Z24" s="2">
        <f t="shared" si="44"/>
        <v>5.2646488215171496</v>
      </c>
      <c r="AA24" s="2">
        <f t="shared" si="5"/>
        <v>1.276142102094586</v>
      </c>
      <c r="AB24" s="2">
        <f t="shared" si="6"/>
        <v>1.0550995720040219</v>
      </c>
      <c r="AC24" s="2">
        <f t="shared" si="7"/>
        <v>1.2945917198048454E-2</v>
      </c>
      <c r="AD24" s="2">
        <f t="shared" si="8"/>
        <v>2898552.8574995813</v>
      </c>
      <c r="AI24">
        <f t="shared" si="9"/>
        <v>1.7405927192068565E-6</v>
      </c>
      <c r="AK24">
        <f t="shared" si="10"/>
        <v>9.1941745302607393E-6</v>
      </c>
      <c r="AL24">
        <f t="shared" si="11"/>
        <v>-3.9862187909928086</v>
      </c>
      <c r="AM24">
        <f t="shared" si="12"/>
        <v>15.090343872332111</v>
      </c>
      <c r="AN24">
        <f t="shared" si="13"/>
        <v>227.71847818523131</v>
      </c>
      <c r="AO24">
        <f t="shared" si="14"/>
        <v>4.3913871547419077E-3</v>
      </c>
      <c r="AQ24" s="3">
        <f t="shared" si="45"/>
        <v>146.40000000000009</v>
      </c>
      <c r="AR24" s="3">
        <f t="shared" si="15"/>
        <v>606.40000000000009</v>
      </c>
      <c r="AS24">
        <f t="shared" si="51"/>
        <v>556.57216122330885</v>
      </c>
      <c r="AV24" s="3">
        <f t="shared" si="16"/>
        <v>1.6170666666666669</v>
      </c>
      <c r="AW24" s="3">
        <f t="shared" si="17"/>
        <v>0.82946670823145885</v>
      </c>
      <c r="AX24" s="4">
        <v>0.8</v>
      </c>
      <c r="AY24" s="5">
        <f t="shared" si="18"/>
        <v>0.17311903077266488</v>
      </c>
      <c r="AZ24" s="5">
        <f t="shared" si="19"/>
        <v>-8.0298071215772537E-2</v>
      </c>
      <c r="BA24" s="5">
        <f t="shared" si="20"/>
        <v>4.8795039882792756E-3</v>
      </c>
      <c r="BB24" s="5">
        <f t="shared" si="21"/>
        <v>-6.3167947933818766E-6</v>
      </c>
      <c r="BC24" s="5">
        <f t="shared" si="22"/>
        <v>4.4415455903381836E-3</v>
      </c>
      <c r="BD24" s="5">
        <f t="shared" si="23"/>
        <v>0.97862327802075777</v>
      </c>
      <c r="BE24" s="6">
        <f t="shared" si="24"/>
        <v>0.9289343494723955</v>
      </c>
      <c r="BF24" s="7">
        <f t="shared" si="25"/>
        <v>0.12893434947239546</v>
      </c>
      <c r="BG24" s="5">
        <v>0.85</v>
      </c>
      <c r="BH24" s="5">
        <f t="shared" si="26"/>
        <v>0.16293555837427284</v>
      </c>
      <c r="BI24" s="5">
        <f t="shared" si="27"/>
        <v>-7.5574655261903573E-2</v>
      </c>
      <c r="BJ24" s="5">
        <f t="shared" si="28"/>
        <v>4.3223287923857953E-3</v>
      </c>
      <c r="BK24" s="5">
        <f t="shared" si="29"/>
        <v>-4.6650045865641372E-6</v>
      </c>
      <c r="BL24" s="5">
        <f t="shared" si="30"/>
        <v>3.9248770975277665E-3</v>
      </c>
      <c r="BM24" s="5">
        <f t="shared" si="31"/>
        <v>0.98104092245332697</v>
      </c>
      <c r="BN24" s="8">
        <f t="shared" si="32"/>
        <v>0.93260280358334335</v>
      </c>
      <c r="BO24" s="9">
        <f t="shared" si="33"/>
        <v>8.2602803583343376E-2</v>
      </c>
      <c r="BP24" s="10">
        <f t="shared" si="34"/>
        <v>-0.9266309177810429</v>
      </c>
      <c r="BQ24" s="10">
        <f t="shared" si="35"/>
        <v>0.93914315505589663</v>
      </c>
    </row>
    <row r="25" spans="2:69">
      <c r="B25">
        <f t="shared" si="36"/>
        <v>1800</v>
      </c>
      <c r="C25">
        <f t="shared" si="46"/>
        <v>147.2000000000001</v>
      </c>
      <c r="D25">
        <f t="shared" si="0"/>
        <v>607.20000000000005</v>
      </c>
      <c r="E25">
        <f t="shared" si="37"/>
        <v>606.80000000000007</v>
      </c>
      <c r="F25">
        <f t="shared" si="47"/>
        <v>564.43696509549022</v>
      </c>
      <c r="G25">
        <f t="shared" si="38"/>
        <v>560.50456315939959</v>
      </c>
      <c r="H25">
        <f t="shared" si="1"/>
        <v>0.93860693559416253</v>
      </c>
      <c r="I25">
        <f t="shared" si="39"/>
        <v>0.93887504532502963</v>
      </c>
      <c r="K25">
        <f t="shared" si="40"/>
        <v>-7.6499245179232189E-3</v>
      </c>
      <c r="L25">
        <f t="shared" si="41"/>
        <v>4.3913871547419077E-3</v>
      </c>
      <c r="M25">
        <f t="shared" si="48"/>
        <v>312375054.98684734</v>
      </c>
      <c r="N25">
        <f t="shared" si="49"/>
        <v>327476.41881777329</v>
      </c>
      <c r="O25">
        <f t="shared" si="50"/>
        <v>572.25555376752197</v>
      </c>
      <c r="Q25" s="2">
        <f t="shared" si="42"/>
        <v>1.7380491596900394</v>
      </c>
      <c r="R25" s="2">
        <f t="shared" si="2"/>
        <v>2.7853351918109608E-2</v>
      </c>
      <c r="W25" s="2">
        <f t="shared" si="3"/>
        <v>144858.85733937964</v>
      </c>
      <c r="X25" s="2">
        <f t="shared" si="43"/>
        <v>1179.0754300000001</v>
      </c>
      <c r="Y25" s="2">
        <f t="shared" si="4"/>
        <v>122.85800692104968</v>
      </c>
      <c r="Z25" s="2">
        <f t="shared" si="44"/>
        <v>5.2625056738537541</v>
      </c>
      <c r="AA25" s="2">
        <f t="shared" si="5"/>
        <v>1.2766187381349252</v>
      </c>
      <c r="AB25" s="2">
        <f t="shared" si="6"/>
        <v>1.055945926844694</v>
      </c>
      <c r="AC25" s="2">
        <f t="shared" si="7"/>
        <v>1.2973141198853963E-2</v>
      </c>
      <c r="AD25" s="2">
        <f t="shared" si="8"/>
        <v>2892470.2747142841</v>
      </c>
      <c r="AI25">
        <f t="shared" si="9"/>
        <v>1.7442530158752837E-6</v>
      </c>
      <c r="AK25">
        <f t="shared" si="10"/>
        <v>9.2115369425901848E-6</v>
      </c>
      <c r="AL25">
        <f t="shared" si="11"/>
        <v>-3.9861457483217584</v>
      </c>
      <c r="AM25">
        <f t="shared" si="12"/>
        <v>15.090195045849857</v>
      </c>
      <c r="AN25">
        <f t="shared" si="13"/>
        <v>227.71398652179155</v>
      </c>
      <c r="AO25">
        <f t="shared" si="14"/>
        <v>4.3914737749510303E-3</v>
      </c>
      <c r="AQ25" s="3">
        <f t="shared" si="45"/>
        <v>147.2000000000001</v>
      </c>
      <c r="AR25" s="3">
        <f t="shared" si="15"/>
        <v>607.20000000000005</v>
      </c>
      <c r="AS25">
        <f t="shared" si="51"/>
        <v>564.43696509549022</v>
      </c>
      <c r="AV25" s="3">
        <f t="shared" si="16"/>
        <v>1.6192000000000002</v>
      </c>
      <c r="AW25" s="3">
        <f t="shared" si="17"/>
        <v>0.84118772741503756</v>
      </c>
      <c r="AX25" s="4">
        <v>0.8</v>
      </c>
      <c r="AY25" s="5">
        <f t="shared" si="18"/>
        <v>0.17533402791661015</v>
      </c>
      <c r="AZ25" s="5">
        <f t="shared" si="19"/>
        <v>-8.1081948931073969E-2</v>
      </c>
      <c r="BA25" s="5">
        <f t="shared" si="20"/>
        <v>5.017894518284086E-3</v>
      </c>
      <c r="BB25" s="5">
        <f t="shared" si="21"/>
        <v>-6.7241294612635557E-6</v>
      </c>
      <c r="BC25" s="5">
        <f t="shared" si="22"/>
        <v>4.540416685765482E-3</v>
      </c>
      <c r="BD25" s="5">
        <f t="shared" si="23"/>
        <v>0.97807884128069833</v>
      </c>
      <c r="BE25" s="6">
        <f t="shared" si="24"/>
        <v>0.92838355520761628</v>
      </c>
      <c r="BF25" s="7">
        <f t="shared" si="25"/>
        <v>0.12838355520761624</v>
      </c>
      <c r="BG25" s="5">
        <v>0.85</v>
      </c>
      <c r="BH25" s="5">
        <f t="shared" si="26"/>
        <v>0.16502026156857427</v>
      </c>
      <c r="BI25" s="5">
        <f t="shared" si="27"/>
        <v>-7.6312422523363732E-2</v>
      </c>
      <c r="BJ25" s="5">
        <f t="shared" si="28"/>
        <v>4.4449169435319246E-3</v>
      </c>
      <c r="BK25" s="5">
        <f t="shared" si="29"/>
        <v>-4.9658245682303906E-6</v>
      </c>
      <c r="BL25" s="5">
        <f t="shared" si="30"/>
        <v>4.0120021480007538E-3</v>
      </c>
      <c r="BM25" s="5">
        <f t="shared" si="31"/>
        <v>0.98055744644684217</v>
      </c>
      <c r="BN25" s="8">
        <f t="shared" si="32"/>
        <v>0.93207145882611919</v>
      </c>
      <c r="BO25" s="9">
        <f t="shared" si="33"/>
        <v>8.2071458826119215E-2</v>
      </c>
      <c r="BP25" s="10">
        <f t="shared" si="34"/>
        <v>-0.92624192762994173</v>
      </c>
      <c r="BQ25" s="10">
        <f t="shared" si="35"/>
        <v>0.93860693559416253</v>
      </c>
    </row>
    <row r="26" spans="2:69">
      <c r="B26">
        <f t="shared" si="36"/>
        <v>2000</v>
      </c>
      <c r="C26">
        <f t="shared" si="46"/>
        <v>148.00000000000011</v>
      </c>
      <c r="D26">
        <f t="shared" si="0"/>
        <v>608.00000000000011</v>
      </c>
      <c r="E26">
        <f t="shared" si="37"/>
        <v>607.60000000000014</v>
      </c>
      <c r="F26">
        <f t="shared" si="47"/>
        <v>572.25555376752197</v>
      </c>
      <c r="G26">
        <f t="shared" si="38"/>
        <v>568.34625943150604</v>
      </c>
      <c r="H26">
        <f t="shared" si="1"/>
        <v>0.93808390372759609</v>
      </c>
      <c r="I26">
        <f t="shared" si="39"/>
        <v>0.93834541966087937</v>
      </c>
      <c r="K26">
        <f t="shared" si="40"/>
        <v>-7.6441643252350639E-3</v>
      </c>
      <c r="L26">
        <f t="shared" si="41"/>
        <v>4.3914737749510303E-3</v>
      </c>
      <c r="M26">
        <f t="shared" si="48"/>
        <v>312852178.19725162</v>
      </c>
      <c r="N26">
        <f t="shared" si="49"/>
        <v>336435.05935169914</v>
      </c>
      <c r="O26">
        <f t="shared" si="50"/>
        <v>580.03022279162246</v>
      </c>
      <c r="Q26" s="2">
        <f t="shared" si="42"/>
        <v>1.7607872415550001</v>
      </c>
      <c r="R26" s="2">
        <f t="shared" si="2"/>
        <v>2.8217744255689105E-2</v>
      </c>
      <c r="W26" s="2">
        <f t="shared" si="3"/>
        <v>145145.23394133284</v>
      </c>
      <c r="X26" s="2">
        <f t="shared" si="43"/>
        <v>1179.8754300000001</v>
      </c>
      <c r="Y26" s="2">
        <f t="shared" si="4"/>
        <v>123.01742222171102</v>
      </c>
      <c r="Z26" s="2">
        <f t="shared" si="44"/>
        <v>5.2603681660526309</v>
      </c>
      <c r="AA26" s="2">
        <f t="shared" si="5"/>
        <v>1.2770941198698951</v>
      </c>
      <c r="AB26" s="2">
        <f t="shared" si="6"/>
        <v>1.0567852905134081</v>
      </c>
      <c r="AC26" s="2">
        <f t="shared" si="7"/>
        <v>1.3000300228078146E-2</v>
      </c>
      <c r="AD26" s="2">
        <f t="shared" si="8"/>
        <v>2886427.5923651969</v>
      </c>
      <c r="AI26">
        <f t="shared" si="9"/>
        <v>1.7479045770435771E-6</v>
      </c>
      <c r="AK26">
        <f t="shared" si="10"/>
        <v>9.22885421951973E-6</v>
      </c>
      <c r="AL26">
        <f t="shared" si="11"/>
        <v>-3.9860729077676509</v>
      </c>
      <c r="AM26">
        <f t="shared" si="12"/>
        <v>15.090046592235616</v>
      </c>
      <c r="AN26">
        <f t="shared" si="13"/>
        <v>227.70950615584172</v>
      </c>
      <c r="AO26">
        <f t="shared" si="14"/>
        <v>4.391560180696241E-3</v>
      </c>
      <c r="AQ26" s="3">
        <f t="shared" si="45"/>
        <v>148.00000000000011</v>
      </c>
      <c r="AR26" s="3">
        <f t="shared" si="15"/>
        <v>608.00000000000011</v>
      </c>
      <c r="AS26">
        <f t="shared" si="51"/>
        <v>572.25555376752197</v>
      </c>
      <c r="AV26" s="3">
        <f t="shared" si="16"/>
        <v>1.6213333333333337</v>
      </c>
      <c r="AW26" s="3">
        <f t="shared" si="17"/>
        <v>0.85283987148661988</v>
      </c>
      <c r="AX26" s="4">
        <v>0.8</v>
      </c>
      <c r="AY26" s="5">
        <f t="shared" si="18"/>
        <v>0.17752885893918635</v>
      </c>
      <c r="AZ26" s="5">
        <f t="shared" si="19"/>
        <v>-8.1851277699441463E-2</v>
      </c>
      <c r="BA26" s="5">
        <f t="shared" si="20"/>
        <v>5.1573314898778668E-3</v>
      </c>
      <c r="BB26" s="5">
        <f t="shared" si="21"/>
        <v>-7.1479677795590605E-6</v>
      </c>
      <c r="BC26" s="5">
        <f t="shared" si="22"/>
        <v>4.638984808546495E-3</v>
      </c>
      <c r="BD26" s="5">
        <f t="shared" si="23"/>
        <v>0.97753283837608507</v>
      </c>
      <c r="BE26" s="6">
        <f t="shared" si="24"/>
        <v>0.92784796174529793</v>
      </c>
      <c r="BF26" s="7">
        <f t="shared" si="25"/>
        <v>0.12784796174529789</v>
      </c>
      <c r="BG26" s="5">
        <v>0.85</v>
      </c>
      <c r="BH26" s="5">
        <f t="shared" si="26"/>
        <v>0.16708598488394008</v>
      </c>
      <c r="BI26" s="5">
        <f t="shared" si="27"/>
        <v>-7.7036496658297843E-2</v>
      </c>
      <c r="BJ26" s="5">
        <f t="shared" si="28"/>
        <v>4.5684320463970024E-3</v>
      </c>
      <c r="BK26" s="5">
        <f t="shared" si="29"/>
        <v>-5.278832630623308E-6</v>
      </c>
      <c r="BL26" s="5">
        <f t="shared" si="30"/>
        <v>4.0988482578354583E-3</v>
      </c>
      <c r="BM26" s="5">
        <f t="shared" si="31"/>
        <v>0.98007254877581329</v>
      </c>
      <c r="BN26" s="8">
        <f t="shared" si="32"/>
        <v>0.93155438287983183</v>
      </c>
      <c r="BO26" s="9">
        <f t="shared" si="33"/>
        <v>8.1554382879831855E-2</v>
      </c>
      <c r="BP26" s="10">
        <f t="shared" si="34"/>
        <v>-0.9258715773093219</v>
      </c>
      <c r="BQ26" s="10">
        <f t="shared" si="35"/>
        <v>0.93808390372759609</v>
      </c>
    </row>
    <row r="27" spans="2:69" ht="18">
      <c r="B27">
        <f t="shared" si="36"/>
        <v>2200</v>
      </c>
      <c r="C27">
        <f t="shared" si="46"/>
        <v>148.80000000000013</v>
      </c>
      <c r="D27">
        <f t="shared" si="0"/>
        <v>608.80000000000018</v>
      </c>
      <c r="E27">
        <f t="shared" si="37"/>
        <v>608.40000000000009</v>
      </c>
      <c r="F27">
        <f t="shared" si="47"/>
        <v>580.03022279162246</v>
      </c>
      <c r="G27">
        <f t="shared" si="38"/>
        <v>576.14288827957216</v>
      </c>
      <c r="H27">
        <f t="shared" si="1"/>
        <v>0.93757368288623544</v>
      </c>
      <c r="I27">
        <f t="shared" si="39"/>
        <v>0.93782879330691582</v>
      </c>
      <c r="K27">
        <f t="shared" si="40"/>
        <v>-7.6383182683401867E-3</v>
      </c>
      <c r="L27">
        <f t="shared" si="41"/>
        <v>4.391560180696241E-3</v>
      </c>
      <c r="M27">
        <f t="shared" si="48"/>
        <v>313337415.06409681</v>
      </c>
      <c r="N27">
        <f t="shared" si="49"/>
        <v>345465.50307829498</v>
      </c>
      <c r="O27">
        <f t="shared" si="50"/>
        <v>587.7631351814224</v>
      </c>
      <c r="P27" s="1"/>
      <c r="Q27" s="2">
        <f t="shared" si="42"/>
        <v>1.7833340464003113</v>
      </c>
      <c r="R27" s="2">
        <f t="shared" si="2"/>
        <v>2.8579071256415248E-2</v>
      </c>
      <c r="S27" s="1"/>
      <c r="T27" s="1"/>
      <c r="U27" s="1"/>
      <c r="V27" s="1"/>
      <c r="W27" s="2">
        <f t="shared" si="3"/>
        <v>145431.79901097534</v>
      </c>
      <c r="X27" s="2">
        <f t="shared" si="43"/>
        <v>1180.6754300000002</v>
      </c>
      <c r="Y27" s="2">
        <f t="shared" si="4"/>
        <v>123.17678111669971</v>
      </c>
      <c r="Z27" s="2">
        <f t="shared" si="44"/>
        <v>5.25823627588042</v>
      </c>
      <c r="AA27" s="2">
        <f t="shared" si="5"/>
        <v>1.2775682522441947</v>
      </c>
      <c r="AB27" s="2">
        <f t="shared" si="6"/>
        <v>1.0576178913798635</v>
      </c>
      <c r="AC27" s="2">
        <f t="shared" si="7"/>
        <v>1.3027396751160296E-2</v>
      </c>
      <c r="AD27" s="2">
        <f t="shared" si="8"/>
        <v>2880423.9253720571</v>
      </c>
      <c r="AE27" s="1"/>
      <c r="AF27" s="1"/>
      <c r="AG27" s="1"/>
      <c r="AH27" s="1"/>
      <c r="AI27">
        <f t="shared" si="9"/>
        <v>1.7515477341927455E-6</v>
      </c>
      <c r="AJ27" s="1"/>
      <c r="AK27">
        <f t="shared" si="10"/>
        <v>9.2461279675634791E-6</v>
      </c>
      <c r="AL27">
        <f t="shared" si="11"/>
        <v>-3.9860002624751818</v>
      </c>
      <c r="AM27">
        <f t="shared" si="12"/>
        <v>15.089898497883018</v>
      </c>
      <c r="AN27">
        <f t="shared" si="13"/>
        <v>227.70503667641216</v>
      </c>
      <c r="AO27">
        <f t="shared" si="14"/>
        <v>4.3916463798782078E-3</v>
      </c>
      <c r="AQ27" s="3">
        <f t="shared" si="45"/>
        <v>148.80000000000013</v>
      </c>
      <c r="AR27" s="3">
        <f t="shared" si="15"/>
        <v>608.80000000000018</v>
      </c>
      <c r="AS27">
        <f t="shared" si="51"/>
        <v>580.03022279162246</v>
      </c>
      <c r="AV27" s="3">
        <f t="shared" si="16"/>
        <v>1.6234666666666671</v>
      </c>
      <c r="AW27" s="3">
        <f t="shared" si="17"/>
        <v>0.86442656153744035</v>
      </c>
      <c r="AX27" s="4">
        <v>0.8</v>
      </c>
      <c r="AY27" s="5">
        <f t="shared" si="18"/>
        <v>0.17970431454432043</v>
      </c>
      <c r="AZ27" s="5">
        <f t="shared" si="19"/>
        <v>-8.2606533130790305E-2</v>
      </c>
      <c r="BA27" s="5">
        <f t="shared" si="20"/>
        <v>5.297819356276324E-3</v>
      </c>
      <c r="BB27" s="5">
        <f t="shared" si="21"/>
        <v>-7.5886323354841748E-6</v>
      </c>
      <c r="BC27" s="5">
        <f t="shared" si="22"/>
        <v>4.7372544745243736E-3</v>
      </c>
      <c r="BD27" s="5">
        <f t="shared" si="23"/>
        <v>0.97698525915404233</v>
      </c>
      <c r="BE27" s="6">
        <f t="shared" si="24"/>
        <v>0.92732710264829343</v>
      </c>
      <c r="BF27" s="7">
        <f t="shared" si="25"/>
        <v>0.12732710264829339</v>
      </c>
      <c r="BG27" s="5">
        <v>0.85</v>
      </c>
      <c r="BH27" s="5">
        <f t="shared" si="26"/>
        <v>0.1691334725123016</v>
      </c>
      <c r="BI27" s="5">
        <f t="shared" si="27"/>
        <v>-7.7747325299567363E-2</v>
      </c>
      <c r="BJ27" s="5">
        <f t="shared" si="28"/>
        <v>4.6928780456980601E-3</v>
      </c>
      <c r="BK27" s="5">
        <f t="shared" si="29"/>
        <v>-5.6042670070384961E-6</v>
      </c>
      <c r="BL27" s="5">
        <f t="shared" si="30"/>
        <v>4.1854194248806386E-3</v>
      </c>
      <c r="BM27" s="5">
        <f t="shared" si="31"/>
        <v>0.97958622013745511</v>
      </c>
      <c r="BN27" s="8">
        <f t="shared" si="32"/>
        <v>0.93105113620724644</v>
      </c>
      <c r="BO27" s="9">
        <f t="shared" si="33"/>
        <v>8.1051136207246466E-2</v>
      </c>
      <c r="BP27" s="10">
        <f t="shared" si="34"/>
        <v>-0.92551932882093968</v>
      </c>
      <c r="BQ27" s="10">
        <f t="shared" si="35"/>
        <v>0.93757368288623544</v>
      </c>
    </row>
    <row r="28" spans="2:69">
      <c r="B28">
        <f t="shared" si="36"/>
        <v>2400</v>
      </c>
      <c r="C28">
        <f t="shared" si="46"/>
        <v>149.60000000000014</v>
      </c>
      <c r="D28">
        <f t="shared" si="0"/>
        <v>609.60000000000014</v>
      </c>
      <c r="E28">
        <f t="shared" si="37"/>
        <v>609.20000000000016</v>
      </c>
      <c r="F28">
        <f t="shared" si="47"/>
        <v>587.7631351814224</v>
      </c>
      <c r="G28">
        <f t="shared" si="38"/>
        <v>583.89667898652237</v>
      </c>
      <c r="H28">
        <f t="shared" si="1"/>
        <v>0.93707591655017142</v>
      </c>
      <c r="I28">
        <f t="shared" si="39"/>
        <v>0.93732479971820348</v>
      </c>
      <c r="K28">
        <f t="shared" si="40"/>
        <v>-7.6323893286401679E-3</v>
      </c>
      <c r="L28">
        <f t="shared" si="41"/>
        <v>4.3916463798782078E-3</v>
      </c>
      <c r="M28">
        <f t="shared" si="48"/>
        <v>313830573.19829506</v>
      </c>
      <c r="N28">
        <f t="shared" si="49"/>
        <v>354568.24299769348</v>
      </c>
      <c r="O28">
        <f t="shared" si="50"/>
        <v>595.45633173029023</v>
      </c>
      <c r="Q28" s="2">
        <f t="shared" si="42"/>
        <v>1.8056964265436917</v>
      </c>
      <c r="R28" s="2">
        <f t="shared" si="2"/>
        <v>2.8937442733071982E-2</v>
      </c>
      <c r="W28" s="2">
        <f t="shared" si="3"/>
        <v>145718.55242443719</v>
      </c>
      <c r="X28" s="2">
        <f t="shared" si="43"/>
        <v>1181.4754300000002</v>
      </c>
      <c r="Y28" s="2">
        <f t="shared" si="4"/>
        <v>123.33608361575253</v>
      </c>
      <c r="Z28" s="2">
        <f t="shared" si="44"/>
        <v>5.2561099812204715</v>
      </c>
      <c r="AA28" s="2">
        <f t="shared" si="5"/>
        <v>1.2780411401765672</v>
      </c>
      <c r="AB28" s="2">
        <f t="shared" si="6"/>
        <v>1.0584439457507933</v>
      </c>
      <c r="AC28" s="2">
        <f t="shared" si="7"/>
        <v>1.3054433099570687E-2</v>
      </c>
      <c r="AD28" s="2">
        <f t="shared" si="8"/>
        <v>2874458.4311815398</v>
      </c>
      <c r="AI28">
        <f t="shared" si="9"/>
        <v>1.7551828007915155E-6</v>
      </c>
      <c r="AK28">
        <f t="shared" si="10"/>
        <v>9.2633597063092749E-6</v>
      </c>
      <c r="AL28">
        <f t="shared" si="11"/>
        <v>-3.9859278059593479</v>
      </c>
      <c r="AM28">
        <f t="shared" si="12"/>
        <v>15.08975074992453</v>
      </c>
      <c r="AN28">
        <f t="shared" si="13"/>
        <v>227.70057769484791</v>
      </c>
      <c r="AO28">
        <f t="shared" si="14"/>
        <v>4.3917323799685139E-3</v>
      </c>
      <c r="AQ28" s="3">
        <f t="shared" si="45"/>
        <v>149.60000000000014</v>
      </c>
      <c r="AR28" s="3">
        <f t="shared" si="15"/>
        <v>609.60000000000014</v>
      </c>
      <c r="AS28">
        <f t="shared" si="51"/>
        <v>587.7631351814224</v>
      </c>
      <c r="AV28" s="3">
        <f t="shared" si="16"/>
        <v>1.6256000000000004</v>
      </c>
      <c r="AW28" s="3">
        <f t="shared" si="17"/>
        <v>0.87595102113475765</v>
      </c>
      <c r="AX28" s="4">
        <v>0.8</v>
      </c>
      <c r="AY28" s="5">
        <f t="shared" si="18"/>
        <v>0.18186114027619379</v>
      </c>
      <c r="AZ28" s="5">
        <f t="shared" si="19"/>
        <v>-8.3348164975697775E-2</v>
      </c>
      <c r="BA28" s="5">
        <f t="shared" si="20"/>
        <v>5.4393625375629712E-3</v>
      </c>
      <c r="BB28" s="5">
        <f t="shared" si="21"/>
        <v>-8.0464479046134813E-6</v>
      </c>
      <c r="BC28" s="5">
        <f t="shared" si="22"/>
        <v>4.8352301059316066E-3</v>
      </c>
      <c r="BD28" s="5">
        <f t="shared" si="23"/>
        <v>0.97643609374454354</v>
      </c>
      <c r="BE28" s="6">
        <f t="shared" si="24"/>
        <v>0.92682053720676172</v>
      </c>
      <c r="BF28" s="7">
        <f t="shared" si="25"/>
        <v>0.12682053720676167</v>
      </c>
      <c r="BG28" s="5">
        <v>0.85</v>
      </c>
      <c r="BH28" s="5">
        <f t="shared" si="26"/>
        <v>0.1711634261423001</v>
      </c>
      <c r="BI28" s="5">
        <f t="shared" si="27"/>
        <v>-7.8445331741833227E-2</v>
      </c>
      <c r="BJ28" s="5">
        <f t="shared" si="28"/>
        <v>4.818258856803188E-3</v>
      </c>
      <c r="BK28" s="5">
        <f t="shared" si="29"/>
        <v>-5.9423675468923957E-6</v>
      </c>
      <c r="BL28" s="5">
        <f t="shared" si="30"/>
        <v>4.2717195633710557E-3</v>
      </c>
      <c r="BM28" s="5">
        <f t="shared" si="31"/>
        <v>0.97909845147678287</v>
      </c>
      <c r="BN28" s="8">
        <f t="shared" si="32"/>
        <v>0.9305613034921566</v>
      </c>
      <c r="BO28" s="9">
        <f t="shared" si="33"/>
        <v>8.0561303492156622E-2</v>
      </c>
      <c r="BP28" s="10">
        <f t="shared" si="34"/>
        <v>-0.92518467429210227</v>
      </c>
      <c r="BQ28" s="10">
        <f t="shared" si="35"/>
        <v>0.93707591655017142</v>
      </c>
    </row>
    <row r="29" spans="2:69">
      <c r="B29">
        <f t="shared" si="36"/>
        <v>2600</v>
      </c>
      <c r="C29">
        <f t="shared" si="46"/>
        <v>150.40000000000015</v>
      </c>
      <c r="D29">
        <f t="shared" si="0"/>
        <v>610.40000000000009</v>
      </c>
      <c r="E29">
        <f t="shared" si="37"/>
        <v>610.00000000000011</v>
      </c>
      <c r="F29">
        <f t="shared" si="47"/>
        <v>595.45633173029023</v>
      </c>
      <c r="G29">
        <f t="shared" si="38"/>
        <v>591.60973345585626</v>
      </c>
      <c r="H29">
        <f t="shared" si="1"/>
        <v>0.93659026674547974</v>
      </c>
      <c r="I29">
        <f t="shared" si="39"/>
        <v>0.93683309164782558</v>
      </c>
      <c r="K29">
        <f t="shared" si="40"/>
        <v>-7.6263803349779129E-3</v>
      </c>
      <c r="L29">
        <f t="shared" si="41"/>
        <v>4.3917323799685139E-3</v>
      </c>
      <c r="M29">
        <f t="shared" si="48"/>
        <v>314331471.44774854</v>
      </c>
      <c r="N29">
        <f t="shared" si="49"/>
        <v>363743.7713174019</v>
      </c>
      <c r="O29">
        <f t="shared" si="50"/>
        <v>603.11174032462827</v>
      </c>
      <c r="Q29" s="2">
        <f t="shared" si="42"/>
        <v>1.8278808477582891</v>
      </c>
      <c r="R29" s="2">
        <f t="shared" si="2"/>
        <v>2.9292962303818736E-2</v>
      </c>
      <c r="W29" s="2">
        <f t="shared" si="3"/>
        <v>146005.49405809227</v>
      </c>
      <c r="X29" s="2">
        <f t="shared" si="43"/>
        <v>1182.2754300000001</v>
      </c>
      <c r="Y29" s="2">
        <f t="shared" si="4"/>
        <v>123.495329728786</v>
      </c>
      <c r="Z29" s="2">
        <f t="shared" si="44"/>
        <v>5.2539892600720837</v>
      </c>
      <c r="AA29" s="2">
        <f t="shared" si="5"/>
        <v>1.2785127885599687</v>
      </c>
      <c r="AB29" s="2">
        <f t="shared" si="6"/>
        <v>1.0592636587523026</v>
      </c>
      <c r="AC29" s="2">
        <f t="shared" si="7"/>
        <v>1.3081411480733586E-2</v>
      </c>
      <c r="AD29" s="2">
        <f t="shared" si="8"/>
        <v>2868530.3067350653</v>
      </c>
      <c r="AI29">
        <f t="shared" si="9"/>
        <v>1.7588100736304928E-6</v>
      </c>
      <c r="AK29">
        <f t="shared" si="10"/>
        <v>9.2805508748477851E-6</v>
      </c>
      <c r="AL29">
        <f t="shared" si="11"/>
        <v>-3.985855532078086</v>
      </c>
      <c r="AM29">
        <f t="shared" si="12"/>
        <v>15.089603336176769</v>
      </c>
      <c r="AN29">
        <f t="shared" si="13"/>
        <v>227.69612884315706</v>
      </c>
      <c r="AO29">
        <f t="shared" si="14"/>
        <v>4.3918181880414214E-3</v>
      </c>
      <c r="AQ29" s="3">
        <f t="shared" si="45"/>
        <v>150.40000000000015</v>
      </c>
      <c r="AR29" s="3">
        <f t="shared" si="15"/>
        <v>610.40000000000009</v>
      </c>
      <c r="AS29">
        <f t="shared" si="51"/>
        <v>595.45633173029023</v>
      </c>
      <c r="AV29" s="3">
        <f t="shared" si="16"/>
        <v>1.6277333333333335</v>
      </c>
      <c r="AW29" s="3">
        <f t="shared" si="17"/>
        <v>0.88741629169938929</v>
      </c>
      <c r="AX29" s="4">
        <v>0.8</v>
      </c>
      <c r="AY29" s="5">
        <f t="shared" si="18"/>
        <v>0.18400004000361067</v>
      </c>
      <c r="AZ29" s="5">
        <f t="shared" si="19"/>
        <v>-8.4076599073497099E-2</v>
      </c>
      <c r="BA29" s="5">
        <f t="shared" si="20"/>
        <v>5.5819654225099163E-3</v>
      </c>
      <c r="BB29" s="5">
        <f t="shared" si="21"/>
        <v>-8.5217415128386413E-6</v>
      </c>
      <c r="BC29" s="5">
        <f t="shared" si="22"/>
        <v>4.9329160350327899E-3</v>
      </c>
      <c r="BD29" s="5">
        <f t="shared" si="23"/>
        <v>0.97588533254854948</v>
      </c>
      <c r="BE29" s="6">
        <f t="shared" si="24"/>
        <v>0.92632784849580774</v>
      </c>
      <c r="BF29" s="7">
        <f t="shared" si="25"/>
        <v>0.12632784849580769</v>
      </c>
      <c r="BG29" s="5">
        <v>0.85</v>
      </c>
      <c r="BH29" s="5">
        <f t="shared" si="26"/>
        <v>0.17317650823869241</v>
      </c>
      <c r="BI29" s="5">
        <f t="shared" si="27"/>
        <v>-7.9130916775056098E-2</v>
      </c>
      <c r="BJ29" s="5">
        <f t="shared" si="28"/>
        <v>4.9445783673444247E-3</v>
      </c>
      <c r="BK29" s="5">
        <f t="shared" si="29"/>
        <v>-6.2933757614790033E-6</v>
      </c>
      <c r="BL29" s="5">
        <f t="shared" si="30"/>
        <v>4.357752507176238E-3</v>
      </c>
      <c r="BM29" s="5">
        <f t="shared" si="31"/>
        <v>0.97860923397613286</v>
      </c>
      <c r="BN29" s="8">
        <f t="shared" si="32"/>
        <v>0.93008449181095509</v>
      </c>
      <c r="BO29" s="9">
        <f t="shared" si="33"/>
        <v>8.0084491810955116E-2</v>
      </c>
      <c r="BP29" s="10">
        <f t="shared" si="34"/>
        <v>-0.92486713369705276</v>
      </c>
      <c r="BQ29" s="10">
        <f t="shared" si="35"/>
        <v>0.93659026674547974</v>
      </c>
    </row>
    <row r="30" spans="2:69">
      <c r="B30">
        <f t="shared" si="36"/>
        <v>2800</v>
      </c>
      <c r="C30">
        <f t="shared" si="46"/>
        <v>151.20000000000016</v>
      </c>
      <c r="D30">
        <f t="shared" si="0"/>
        <v>611.20000000000016</v>
      </c>
      <c r="E30">
        <f t="shared" si="37"/>
        <v>610.80000000000018</v>
      </c>
      <c r="F30">
        <f t="shared" si="47"/>
        <v>603.11174032462827</v>
      </c>
      <c r="G30">
        <f t="shared" si="38"/>
        <v>599.28403602745925</v>
      </c>
      <c r="H30">
        <f t="shared" si="1"/>
        <v>0.93611641268349632</v>
      </c>
      <c r="I30">
        <f t="shared" si="39"/>
        <v>0.93635333971448809</v>
      </c>
      <c r="K30">
        <f t="shared" si="40"/>
        <v>-7.6202939748125633E-3</v>
      </c>
      <c r="L30">
        <f t="shared" si="41"/>
        <v>4.3918181880414214E-3</v>
      </c>
      <c r="M30">
        <f t="shared" si="48"/>
        <v>314839939.04395568</v>
      </c>
      <c r="N30">
        <f t="shared" si="49"/>
        <v>372992.57956065924</v>
      </c>
      <c r="O30">
        <f t="shared" si="50"/>
        <v>610.73118436891627</v>
      </c>
      <c r="Q30" s="2">
        <f t="shared" si="42"/>
        <v>1.8498934184917586</v>
      </c>
      <c r="R30" s="2">
        <f t="shared" si="2"/>
        <v>2.9645727860444851E-2</v>
      </c>
      <c r="W30" s="2">
        <f t="shared" si="3"/>
        <v>146292.62378855873</v>
      </c>
      <c r="X30" s="2">
        <f t="shared" si="43"/>
        <v>1183.0754300000003</v>
      </c>
      <c r="Y30" s="2">
        <f t="shared" si="4"/>
        <v>123.65451946589634</v>
      </c>
      <c r="Z30" s="2">
        <f t="shared" si="44"/>
        <v>5.2518740905497374</v>
      </c>
      <c r="AA30" s="2">
        <f t="shared" si="5"/>
        <v>1.2789832022617384</v>
      </c>
      <c r="AB30" s="2">
        <f t="shared" si="6"/>
        <v>1.0600772251297486</v>
      </c>
      <c r="AC30" s="2">
        <f t="shared" si="7"/>
        <v>1.3108333987015988E-2</v>
      </c>
      <c r="AD30" s="2">
        <f t="shared" si="8"/>
        <v>2862638.7857163893</v>
      </c>
      <c r="AI30">
        <f t="shared" si="9"/>
        <v>1.7624298340307069E-6</v>
      </c>
      <c r="AK30">
        <f t="shared" si="10"/>
        <v>9.2977028375970574E-6</v>
      </c>
      <c r="AL30">
        <f t="shared" si="11"/>
        <v>-3.985783435007479</v>
      </c>
      <c r="AM30">
        <f t="shared" si="12"/>
        <v>15.089456245090949</v>
      </c>
      <c r="AN30">
        <f t="shared" si="13"/>
        <v>227.69168977251422</v>
      </c>
      <c r="AO30">
        <f t="shared" si="14"/>
        <v>4.3919038108026498E-3</v>
      </c>
      <c r="AQ30" s="3">
        <f t="shared" si="45"/>
        <v>151.20000000000016</v>
      </c>
      <c r="AR30" s="3">
        <f t="shared" si="15"/>
        <v>611.20000000000016</v>
      </c>
      <c r="AS30">
        <f t="shared" si="51"/>
        <v>603.11174032462827</v>
      </c>
      <c r="AV30" s="3">
        <f t="shared" si="16"/>
        <v>1.629866666666667</v>
      </c>
      <c r="AW30" s="3">
        <f t="shared" si="17"/>
        <v>0.89882524638543704</v>
      </c>
      <c r="AX30" s="4">
        <v>0.8</v>
      </c>
      <c r="AY30" s="5">
        <f t="shared" si="18"/>
        <v>0.18612167906684693</v>
      </c>
      <c r="AZ30" s="5">
        <f t="shared" si="19"/>
        <v>-8.4792239114221679E-2</v>
      </c>
      <c r="BA30" s="5">
        <f t="shared" si="20"/>
        <v>5.725632370244209E-3</v>
      </c>
      <c r="BB30" s="5">
        <f t="shared" si="21"/>
        <v>-9.0148424955833145E-6</v>
      </c>
      <c r="BC30" s="5">
        <f t="shared" si="22"/>
        <v>5.0303165075289268E-3</v>
      </c>
      <c r="BD30" s="5">
        <f t="shared" si="23"/>
        <v>0.97533296622702736</v>
      </c>
      <c r="BE30" s="6">
        <f t="shared" si="24"/>
        <v>0.92584864161886715</v>
      </c>
      <c r="BF30" s="7">
        <f t="shared" si="25"/>
        <v>0.12584864161886711</v>
      </c>
      <c r="BG30" s="5">
        <v>0.85</v>
      </c>
      <c r="BH30" s="5">
        <f t="shared" si="26"/>
        <v>0.17517334500409126</v>
      </c>
      <c r="BI30" s="5">
        <f t="shared" si="27"/>
        <v>-7.9804460342796896E-2</v>
      </c>
      <c r="BJ30" s="5">
        <f t="shared" si="28"/>
        <v>5.0718404386938341E-3</v>
      </c>
      <c r="BK30" s="5">
        <f t="shared" si="29"/>
        <v>-6.6575348677006069E-6</v>
      </c>
      <c r="BL30" s="5">
        <f t="shared" si="30"/>
        <v>4.4435220128371282E-3</v>
      </c>
      <c r="BM30" s="5">
        <f t="shared" si="31"/>
        <v>0.97811855904546274</v>
      </c>
      <c r="BN30" s="8">
        <f t="shared" si="32"/>
        <v>0.92962032897904767</v>
      </c>
      <c r="BO30" s="9">
        <f t="shared" si="33"/>
        <v>7.9620328979047694E-2</v>
      </c>
      <c r="BP30" s="10">
        <f t="shared" si="34"/>
        <v>-0.92456625279638949</v>
      </c>
      <c r="BQ30" s="10">
        <f t="shared" si="35"/>
        <v>0.93611641268349632</v>
      </c>
    </row>
    <row r="31" spans="2:69">
      <c r="B31">
        <f t="shared" si="36"/>
        <v>3000</v>
      </c>
      <c r="C31">
        <f t="shared" si="46"/>
        <v>152.00000000000017</v>
      </c>
      <c r="D31">
        <f t="shared" si="0"/>
        <v>612.00000000000023</v>
      </c>
      <c r="E31">
        <f t="shared" si="37"/>
        <v>611.60000000000014</v>
      </c>
      <c r="F31">
        <f t="shared" si="47"/>
        <v>610.73118436891627</v>
      </c>
      <c r="G31">
        <f t="shared" si="38"/>
        <v>606.92146234677227</v>
      </c>
      <c r="H31">
        <f t="shared" si="1"/>
        <v>0.93565404952698994</v>
      </c>
      <c r="I31">
        <f t="shared" si="39"/>
        <v>0.93588523110524313</v>
      </c>
      <c r="K31">
        <f t="shared" si="40"/>
        <v>-7.6141328043468123E-3</v>
      </c>
      <c r="L31">
        <f t="shared" si="41"/>
        <v>4.3919038108026498E-3</v>
      </c>
      <c r="M31">
        <f t="shared" si="48"/>
        <v>315355814.83016473</v>
      </c>
      <c r="N31">
        <f t="shared" si="49"/>
        <v>382315.15866646077</v>
      </c>
      <c r="O31">
        <f t="shared" si="50"/>
        <v>618.31639042359279</v>
      </c>
      <c r="Q31" s="2">
        <f t="shared" si="42"/>
        <v>1.8717399163132211</v>
      </c>
      <c r="R31" s="2">
        <f t="shared" si="2"/>
        <v>2.9995831992199056E-2</v>
      </c>
      <c r="W31" s="2">
        <f t="shared" si="3"/>
        <v>146579.94149269527</v>
      </c>
      <c r="X31" s="2">
        <f t="shared" si="43"/>
        <v>1183.8754300000003</v>
      </c>
      <c r="Y31" s="2">
        <f t="shared" si="4"/>
        <v>123.81365283735573</v>
      </c>
      <c r="Z31" s="2">
        <f t="shared" si="44"/>
        <v>5.2497644508823518</v>
      </c>
      <c r="AA31" s="2">
        <f t="shared" si="5"/>
        <v>1.279452386123765</v>
      </c>
      <c r="AB31" s="2">
        <f t="shared" si="6"/>
        <v>1.0608848299744607</v>
      </c>
      <c r="AC31" s="2">
        <f t="shared" si="7"/>
        <v>1.3135202603887503E-2</v>
      </c>
      <c r="AD31" s="2">
        <f t="shared" si="8"/>
        <v>2856783.1360477507</v>
      </c>
      <c r="AI31">
        <f t="shared" si="9"/>
        <v>1.766042348940718E-6</v>
      </c>
      <c r="AK31">
        <f t="shared" si="10"/>
        <v>9.3148168895902641E-6</v>
      </c>
      <c r="AL31">
        <f t="shared" si="11"/>
        <v>-3.9857115092192519</v>
      </c>
      <c r="AM31">
        <f t="shared" si="12"/>
        <v>15.089309465707911</v>
      </c>
      <c r="AN31">
        <f t="shared" si="13"/>
        <v>227.68726015190236</v>
      </c>
      <c r="AO31">
        <f t="shared" si="14"/>
        <v>4.3919892546155038E-3</v>
      </c>
      <c r="AQ31" s="3">
        <f t="shared" si="45"/>
        <v>152.00000000000017</v>
      </c>
      <c r="AR31" s="3">
        <f t="shared" si="15"/>
        <v>612.00000000000023</v>
      </c>
      <c r="AS31">
        <f t="shared" si="51"/>
        <v>610.73118436891627</v>
      </c>
      <c r="AV31" s="3">
        <f t="shared" si="16"/>
        <v>1.6320000000000006</v>
      </c>
      <c r="AW31" s="3">
        <f t="shared" si="17"/>
        <v>0.9101806026362389</v>
      </c>
      <c r="AX31" s="4">
        <v>0.8</v>
      </c>
      <c r="AY31" s="5">
        <f t="shared" si="18"/>
        <v>0.18822668712606039</v>
      </c>
      <c r="AZ31" s="5">
        <f t="shared" si="19"/>
        <v>-8.5495468235771976E-2</v>
      </c>
      <c r="BA31" s="5">
        <f t="shared" si="20"/>
        <v>5.8703677117750118E-3</v>
      </c>
      <c r="BB31" s="5">
        <f t="shared" si="21"/>
        <v>-9.5260825544879632E-6</v>
      </c>
      <c r="BC31" s="5">
        <f t="shared" si="22"/>
        <v>5.1274356857449674E-3</v>
      </c>
      <c r="BD31" s="5">
        <f t="shared" si="23"/>
        <v>0.97477898569076704</v>
      </c>
      <c r="BE31" s="6">
        <f t="shared" si="24"/>
        <v>0.92538254211550253</v>
      </c>
      <c r="BF31" s="7">
        <f t="shared" si="25"/>
        <v>0.12538254211550248</v>
      </c>
      <c r="BG31" s="5">
        <v>0.85</v>
      </c>
      <c r="BH31" s="5">
        <f t="shared" si="26"/>
        <v>0.17715452905982157</v>
      </c>
      <c r="BI31" s="5">
        <f t="shared" si="27"/>
        <v>-8.046632304543247E-2</v>
      </c>
      <c r="BJ31" s="5">
        <f t="shared" si="28"/>
        <v>5.2000489073162747E-3</v>
      </c>
      <c r="BK31" s="5">
        <f t="shared" si="29"/>
        <v>-7.0350898299299008E-6</v>
      </c>
      <c r="BL31" s="5">
        <f t="shared" si="30"/>
        <v>4.5290317624098421E-3</v>
      </c>
      <c r="BM31" s="5">
        <f t="shared" si="31"/>
        <v>0.97762641831335639</v>
      </c>
      <c r="BN31" s="8">
        <f t="shared" si="32"/>
        <v>0.92916846205202597</v>
      </c>
      <c r="BO31" s="9">
        <f t="shared" si="33"/>
        <v>7.916846205202599E-2</v>
      </c>
      <c r="BP31" s="10">
        <f t="shared" si="34"/>
        <v>-0.92428160126953107</v>
      </c>
      <c r="BQ31" s="10">
        <f t="shared" si="35"/>
        <v>0.93565404952698994</v>
      </c>
    </row>
    <row r="32" spans="2:69">
      <c r="B32">
        <f t="shared" si="36"/>
        <v>3200</v>
      </c>
      <c r="C32">
        <f t="shared" si="46"/>
        <v>152.80000000000018</v>
      </c>
      <c r="D32">
        <f t="shared" si="0"/>
        <v>612.80000000000018</v>
      </c>
      <c r="E32">
        <f t="shared" si="37"/>
        <v>612.4000000000002</v>
      </c>
      <c r="F32">
        <f t="shared" si="47"/>
        <v>618.31639042359279</v>
      </c>
      <c r="G32">
        <f t="shared" si="38"/>
        <v>614.52378739625453</v>
      </c>
      <c r="H32">
        <f t="shared" si="1"/>
        <v>0.93520288726899214</v>
      </c>
      <c r="I32">
        <f t="shared" si="39"/>
        <v>0.93542846839799099</v>
      </c>
      <c r="K32">
        <f t="shared" si="40"/>
        <v>-7.6078992577251082E-3</v>
      </c>
      <c r="L32">
        <f t="shared" si="41"/>
        <v>4.3919892546155038E-3</v>
      </c>
      <c r="M32">
        <f t="shared" si="48"/>
        <v>315878946.5617432</v>
      </c>
      <c r="N32">
        <f t="shared" si="49"/>
        <v>391711.9990820199</v>
      </c>
      <c r="O32">
        <f t="shared" si="50"/>
        <v>625.86899514356833</v>
      </c>
      <c r="Q32" s="2">
        <f t="shared" si="42"/>
        <v>1.8934258119025689</v>
      </c>
      <c r="R32" s="2">
        <f t="shared" si="2"/>
        <v>3.0343362370233475E-2</v>
      </c>
      <c r="W32" s="2">
        <f t="shared" si="3"/>
        <v>146867.44704760396</v>
      </c>
      <c r="X32" s="2">
        <f t="shared" si="43"/>
        <v>1184.6754300000002</v>
      </c>
      <c r="Y32" s="2">
        <f t="shared" si="4"/>
        <v>123.97272985361394</v>
      </c>
      <c r="Z32" s="2">
        <f t="shared" si="44"/>
        <v>5.2476603194125317</v>
      </c>
      <c r="AA32" s="2">
        <f t="shared" si="5"/>
        <v>1.2799203449626531</v>
      </c>
      <c r="AB32" s="2">
        <f t="shared" si="6"/>
        <v>1.0616866493853709</v>
      </c>
      <c r="AC32" s="2">
        <f t="shared" si="7"/>
        <v>1.3162019217344114E-2</v>
      </c>
      <c r="AD32" s="2">
        <f t="shared" si="8"/>
        <v>2850962.6576071931</v>
      </c>
      <c r="AI32">
        <f t="shared" si="9"/>
        <v>1.7696478719347471E-6</v>
      </c>
      <c r="AK32">
        <f t="shared" si="10"/>
        <v>9.3318942612871329E-6</v>
      </c>
      <c r="AL32">
        <f t="shared" si="11"/>
        <v>-3.9856397494602849</v>
      </c>
      <c r="AM32">
        <f t="shared" si="12"/>
        <v>15.089162987617202</v>
      </c>
      <c r="AN32">
        <f t="shared" si="13"/>
        <v>227.6828396668769</v>
      </c>
      <c r="AO32">
        <f t="shared" si="14"/>
        <v>4.3920745255246352E-3</v>
      </c>
      <c r="AQ32" s="3">
        <f t="shared" si="45"/>
        <v>152.80000000000018</v>
      </c>
      <c r="AR32" s="3">
        <f t="shared" si="15"/>
        <v>612.80000000000018</v>
      </c>
      <c r="AS32">
        <f t="shared" si="51"/>
        <v>618.31639042359279</v>
      </c>
      <c r="AV32" s="3">
        <f t="shared" si="16"/>
        <v>1.6341333333333339</v>
      </c>
      <c r="AW32" s="3">
        <f t="shared" si="17"/>
        <v>0.9214849335672024</v>
      </c>
      <c r="AX32" s="4">
        <v>0.8</v>
      </c>
      <c r="AY32" s="5">
        <f t="shared" si="18"/>
        <v>0.19031566074510284</v>
      </c>
      <c r="AZ32" s="5">
        <f t="shared" si="19"/>
        <v>-8.6186650474827445E-2</v>
      </c>
      <c r="BA32" s="5">
        <f t="shared" si="20"/>
        <v>6.0161757513948217E-3</v>
      </c>
      <c r="BB32" s="5">
        <f t="shared" si="21"/>
        <v>-1.0055795811755427E-5</v>
      </c>
      <c r="BC32" s="5">
        <f t="shared" si="22"/>
        <v>5.2242776516194783E-3</v>
      </c>
      <c r="BD32" s="5">
        <f t="shared" si="23"/>
        <v>0.97422338209092085</v>
      </c>
      <c r="BE32" s="6">
        <f t="shared" si="24"/>
        <v>0.92492919451512179</v>
      </c>
      <c r="BF32" s="7">
        <f t="shared" si="25"/>
        <v>0.12492919451512174</v>
      </c>
      <c r="BG32" s="5">
        <v>0.85</v>
      </c>
      <c r="BH32" s="5">
        <f t="shared" si="26"/>
        <v>0.17912062187774386</v>
      </c>
      <c r="BI32" s="5">
        <f t="shared" si="27"/>
        <v>-8.1116847505719958E-2</v>
      </c>
      <c r="BJ32" s="5">
        <f t="shared" si="28"/>
        <v>5.3292075860106392E-3</v>
      </c>
      <c r="BK32" s="5">
        <f t="shared" si="29"/>
        <v>-7.4262874001447084E-6</v>
      </c>
      <c r="BL32" s="5">
        <f t="shared" si="30"/>
        <v>4.6142853661334136E-3</v>
      </c>
      <c r="BM32" s="5">
        <f t="shared" si="31"/>
        <v>0.97713280361866872</v>
      </c>
      <c r="BN32" s="8">
        <f t="shared" si="32"/>
        <v>0.92872855596419734</v>
      </c>
      <c r="BO32" s="9">
        <f t="shared" si="33"/>
        <v>7.8728555964197366E-2</v>
      </c>
      <c r="BP32" s="10">
        <f t="shared" si="34"/>
        <v>-0.92401277101848878</v>
      </c>
      <c r="BQ32" s="10">
        <f t="shared" si="35"/>
        <v>0.93520288726899214</v>
      </c>
    </row>
    <row r="33" spans="2:69">
      <c r="B33">
        <f t="shared" si="36"/>
        <v>3400</v>
      </c>
      <c r="C33">
        <f t="shared" si="46"/>
        <v>153.60000000000019</v>
      </c>
      <c r="D33">
        <f t="shared" si="0"/>
        <v>613.60000000000014</v>
      </c>
      <c r="E33">
        <f t="shared" si="37"/>
        <v>613.20000000000016</v>
      </c>
      <c r="F33">
        <f t="shared" si="47"/>
        <v>625.86899514356833</v>
      </c>
      <c r="G33">
        <f t="shared" si="38"/>
        <v>622.09269278358056</v>
      </c>
      <c r="H33">
        <f t="shared" si="1"/>
        <v>0.93476264971189948</v>
      </c>
      <c r="I33">
        <f t="shared" si="39"/>
        <v>0.93498276849044581</v>
      </c>
      <c r="K33">
        <f t="shared" si="40"/>
        <v>-7.6015956554056664E-3</v>
      </c>
      <c r="L33">
        <f t="shared" si="41"/>
        <v>4.3920745255246352E-3</v>
      </c>
      <c r="M33">
        <f t="shared" si="48"/>
        <v>316409190.27066571</v>
      </c>
      <c r="N33">
        <f t="shared" si="49"/>
        <v>401183.59084834903</v>
      </c>
      <c r="O33">
        <f t="shared" si="50"/>
        <v>633.39055159384009</v>
      </c>
      <c r="Q33" s="2">
        <f t="shared" si="42"/>
        <v>1.9149562908553097</v>
      </c>
      <c r="R33" s="2">
        <f t="shared" si="2"/>
        <v>3.068840209704022E-2</v>
      </c>
      <c r="W33" s="2">
        <f t="shared" si="3"/>
        <v>147155.1403306259</v>
      </c>
      <c r="X33" s="2">
        <f t="shared" si="43"/>
        <v>1185.4754300000002</v>
      </c>
      <c r="Y33" s="2">
        <f t="shared" si="4"/>
        <v>124.13175052529421</v>
      </c>
      <c r="Z33" s="2">
        <f t="shared" si="44"/>
        <v>5.2455616745958267</v>
      </c>
      <c r="AA33" s="2">
        <f t="shared" si="5"/>
        <v>1.2803870835698883</v>
      </c>
      <c r="AB33" s="2">
        <f t="shared" si="6"/>
        <v>1.0624828510726014</v>
      </c>
      <c r="AC33" s="2">
        <f t="shared" si="7"/>
        <v>1.3188785620674749E-2</v>
      </c>
      <c r="AD33" s="2">
        <f t="shared" si="8"/>
        <v>2845176.6801435458</v>
      </c>
      <c r="AI33">
        <f t="shared" si="9"/>
        <v>1.7732466441224516E-6</v>
      </c>
      <c r="AK33">
        <f t="shared" si="10"/>
        <v>9.3489361229596815E-6</v>
      </c>
      <c r="AL33">
        <f t="shared" si="11"/>
        <v>-3.9855681507339473</v>
      </c>
      <c r="AM33">
        <f t="shared" si="12"/>
        <v>15.089016800919762</v>
      </c>
      <c r="AN33">
        <f t="shared" si="13"/>
        <v>227.67842801843884</v>
      </c>
      <c r="AO33">
        <f t="shared" si="14"/>
        <v>4.3921596292777181E-3</v>
      </c>
      <c r="AQ33" s="3">
        <f t="shared" si="45"/>
        <v>153.60000000000019</v>
      </c>
      <c r="AR33" s="3">
        <f t="shared" si="15"/>
        <v>613.60000000000014</v>
      </c>
      <c r="AS33">
        <f t="shared" si="51"/>
        <v>625.86899514356833</v>
      </c>
      <c r="AV33" s="3">
        <f t="shared" si="16"/>
        <v>1.636266666666667</v>
      </c>
      <c r="AW33" s="3">
        <f t="shared" si="17"/>
        <v>0.93274067830636109</v>
      </c>
      <c r="AX33" s="4">
        <v>0.8</v>
      </c>
      <c r="AY33" s="5">
        <f t="shared" si="18"/>
        <v>0.1923891657401382</v>
      </c>
      <c r="AZ33" s="5">
        <f t="shared" si="19"/>
        <v>-8.6866132087612832E-2</v>
      </c>
      <c r="BA33" s="5">
        <f t="shared" si="20"/>
        <v>6.1630607679666622E-3</v>
      </c>
      <c r="BB33" s="5">
        <f t="shared" si="21"/>
        <v>-1.0604318862330871E-5</v>
      </c>
      <c r="BC33" s="5">
        <f t="shared" si="22"/>
        <v>5.3208464095135582E-3</v>
      </c>
      <c r="BD33" s="5">
        <f t="shared" si="23"/>
        <v>0.97366614681020147</v>
      </c>
      <c r="BE33" s="6">
        <f t="shared" si="24"/>
        <v>0.92448826102053616</v>
      </c>
      <c r="BF33" s="7">
        <f t="shared" si="25"/>
        <v>0.12448826102053612</v>
      </c>
      <c r="BG33" s="5">
        <v>0.85</v>
      </c>
      <c r="BH33" s="5">
        <f t="shared" si="26"/>
        <v>0.18107215599071833</v>
      </c>
      <c r="BI33" s="5">
        <f t="shared" si="27"/>
        <v>-8.1756359611870916E-2</v>
      </c>
      <c r="BJ33" s="5">
        <f t="shared" si="28"/>
        <v>5.459320265050055E-3</v>
      </c>
      <c r="BK33" s="5">
        <f t="shared" si="29"/>
        <v>-7.8313761564632656E-6</v>
      </c>
      <c r="BL33" s="5">
        <f t="shared" si="30"/>
        <v>4.6992863649366725E-3</v>
      </c>
      <c r="BM33" s="5">
        <f t="shared" si="31"/>
        <v>0.97663770700275299</v>
      </c>
      <c r="BN33" s="8">
        <f t="shared" si="32"/>
        <v>0.92830029228933664</v>
      </c>
      <c r="BO33" s="9">
        <f t="shared" si="33"/>
        <v>7.8300292289336659E-2</v>
      </c>
      <c r="BP33" s="10">
        <f t="shared" si="34"/>
        <v>-0.92375937462399038</v>
      </c>
      <c r="BQ33" s="10">
        <f t="shared" si="35"/>
        <v>0.93476264971189948</v>
      </c>
    </row>
    <row r="34" spans="2:69">
      <c r="B34">
        <f t="shared" si="36"/>
        <v>3600</v>
      </c>
      <c r="C34">
        <f t="shared" si="46"/>
        <v>154.4000000000002</v>
      </c>
      <c r="D34">
        <f t="shared" si="0"/>
        <v>614.4000000000002</v>
      </c>
      <c r="E34">
        <f t="shared" si="37"/>
        <v>614.00000000000023</v>
      </c>
      <c r="F34">
        <f t="shared" si="47"/>
        <v>633.39055159384009</v>
      </c>
      <c r="G34">
        <f t="shared" si="38"/>
        <v>629.62977336870426</v>
      </c>
      <c r="H34">
        <f t="shared" si="1"/>
        <v>0.93433307353602746</v>
      </c>
      <c r="I34">
        <f t="shared" si="39"/>
        <v>0.93454786162396353</v>
      </c>
      <c r="K34">
        <f t="shared" si="40"/>
        <v>-7.5952242117959569E-3</v>
      </c>
      <c r="L34">
        <f t="shared" si="41"/>
        <v>4.3921596292777181E-3</v>
      </c>
      <c r="M34">
        <f t="shared" si="48"/>
        <v>316946409.68707812</v>
      </c>
      <c r="N34">
        <f t="shared" si="49"/>
        <v>410730.42367956927</v>
      </c>
      <c r="O34">
        <f t="shared" si="50"/>
        <v>640.88253500900555</v>
      </c>
      <c r="Q34" s="2">
        <f t="shared" si="42"/>
        <v>1.9363362735410303</v>
      </c>
      <c r="R34" s="2">
        <f t="shared" si="2"/>
        <v>3.1031030024696E-2</v>
      </c>
      <c r="W34" s="2">
        <f t="shared" si="3"/>
        <v>147443.02121934353</v>
      </c>
      <c r="X34" s="2">
        <f t="shared" si="43"/>
        <v>1186.2754300000001</v>
      </c>
      <c r="Y34" s="2">
        <f t="shared" si="4"/>
        <v>124.29071486319455</v>
      </c>
      <c r="Z34" s="2">
        <f t="shared" si="44"/>
        <v>5.2434684949999992</v>
      </c>
      <c r="AA34" s="2">
        <f t="shared" si="5"/>
        <v>1.2808526067120003</v>
      </c>
      <c r="AB34" s="2">
        <f t="shared" si="6"/>
        <v>1.0632735949091561</v>
      </c>
      <c r="AC34" s="2">
        <f t="shared" si="7"/>
        <v>1.3215503520641774E-2</v>
      </c>
      <c r="AD34" s="2">
        <f t="shared" si="8"/>
        <v>2839424.5613680598</v>
      </c>
      <c r="AI34">
        <f t="shared" si="9"/>
        <v>1.7768388949798963E-6</v>
      </c>
      <c r="AK34">
        <f t="shared" si="10"/>
        <v>9.3659435886986392E-6</v>
      </c>
      <c r="AL34">
        <f t="shared" si="11"/>
        <v>-3.9854967082830366</v>
      </c>
      <c r="AM34">
        <f t="shared" si="12"/>
        <v>15.08887089619386</v>
      </c>
      <c r="AN34">
        <f t="shared" si="13"/>
        <v>227.67402492200611</v>
      </c>
      <c r="AO34">
        <f t="shared" si="14"/>
        <v>4.3922445713452298E-3</v>
      </c>
      <c r="AQ34" s="3">
        <f t="shared" si="45"/>
        <v>154.4000000000002</v>
      </c>
      <c r="AR34" s="3">
        <f t="shared" si="15"/>
        <v>614.4000000000002</v>
      </c>
      <c r="AS34">
        <f t="shared" si="51"/>
        <v>633.39055159384009</v>
      </c>
      <c r="AV34" s="3">
        <f t="shared" si="16"/>
        <v>1.6384000000000005</v>
      </c>
      <c r="AW34" s="3">
        <f t="shared" si="17"/>
        <v>0.94395015140661709</v>
      </c>
      <c r="AX34" s="4">
        <v>0.8</v>
      </c>
      <c r="AY34" s="5">
        <f t="shared" si="18"/>
        <v>0.19444773931868478</v>
      </c>
      <c r="AZ34" s="5">
        <f t="shared" si="19"/>
        <v>-8.7534242754565894E-2</v>
      </c>
      <c r="BA34" s="5">
        <f t="shared" si="20"/>
        <v>6.3110270161077188E-3</v>
      </c>
      <c r="BB34" s="5">
        <f t="shared" si="21"/>
        <v>-1.1171990824072381E-5</v>
      </c>
      <c r="BC34" s="5">
        <f t="shared" si="22"/>
        <v>5.4171458888541248E-3</v>
      </c>
      <c r="BD34" s="5">
        <f t="shared" si="23"/>
        <v>0.97310727145467979</v>
      </c>
      <c r="BE34" s="6">
        <f t="shared" si="24"/>
        <v>0.92405942030734078</v>
      </c>
      <c r="BF34" s="7">
        <f t="shared" si="25"/>
        <v>0.12405942030734074</v>
      </c>
      <c r="BG34" s="5">
        <v>0.85</v>
      </c>
      <c r="BH34" s="5">
        <f t="shared" si="26"/>
        <v>0.18300963700582099</v>
      </c>
      <c r="BI34" s="5">
        <f t="shared" si="27"/>
        <v>-8.2385169651356144E-2</v>
      </c>
      <c r="BJ34" s="5">
        <f t="shared" si="28"/>
        <v>5.5903907132303669E-3</v>
      </c>
      <c r="BK34" s="5">
        <f t="shared" si="29"/>
        <v>-8.2506065401956145E-6</v>
      </c>
      <c r="BL34" s="5">
        <f t="shared" si="30"/>
        <v>4.7840382327977247E-3</v>
      </c>
      <c r="BM34" s="5">
        <f t="shared" si="31"/>
        <v>0.97614112070221803</v>
      </c>
      <c r="BN34" s="8">
        <f t="shared" si="32"/>
        <v>0.92788336811045991</v>
      </c>
      <c r="BO34" s="9">
        <f t="shared" si="33"/>
        <v>7.7883368110459927E-2</v>
      </c>
      <c r="BP34" s="10">
        <f t="shared" si="34"/>
        <v>-0.92352104393761747</v>
      </c>
      <c r="BQ34" s="10">
        <f t="shared" si="35"/>
        <v>0.93433307353602746</v>
      </c>
    </row>
    <row r="35" spans="2:69">
      <c r="B35">
        <f t="shared" si="36"/>
        <v>3800</v>
      </c>
      <c r="C35">
        <f t="shared" si="46"/>
        <v>155.20000000000022</v>
      </c>
      <c r="D35">
        <f t="shared" si="0"/>
        <v>615.20000000000027</v>
      </c>
      <c r="E35">
        <f t="shared" si="37"/>
        <v>614.80000000000018</v>
      </c>
      <c r="F35">
        <f t="shared" si="47"/>
        <v>640.88253500900555</v>
      </c>
      <c r="G35">
        <f t="shared" si="38"/>
        <v>637.13654330142276</v>
      </c>
      <c r="H35">
        <f t="shared" si="1"/>
        <v>0.93391390744817293</v>
      </c>
      <c r="I35">
        <f t="shared" si="39"/>
        <v>0.93412349049210019</v>
      </c>
      <c r="K35">
        <f t="shared" si="40"/>
        <v>-7.5887870422300246E-3</v>
      </c>
      <c r="L35">
        <f t="shared" si="41"/>
        <v>4.3922445713452298E-3</v>
      </c>
      <c r="M35">
        <f t="shared" si="48"/>
        <v>317490475.71178323</v>
      </c>
      <c r="N35">
        <f t="shared" si="49"/>
        <v>420352.98703648854</v>
      </c>
      <c r="O35">
        <f t="shared" si="50"/>
        <v>648.34634805517999</v>
      </c>
      <c r="Q35" s="2">
        <f t="shared" si="42"/>
        <v>1.95757043322346</v>
      </c>
      <c r="R35" s="2">
        <f t="shared" si="2"/>
        <v>3.1371321045247758E-2</v>
      </c>
      <c r="W35" s="2">
        <f t="shared" si="3"/>
        <v>147731.08959157742</v>
      </c>
      <c r="X35" s="2">
        <f t="shared" si="43"/>
        <v>1187.0754300000003</v>
      </c>
      <c r="Y35" s="2">
        <f t="shared" si="4"/>
        <v>124.44962287828447</v>
      </c>
      <c r="Z35" s="2">
        <f t="shared" si="44"/>
        <v>5.24138075930429</v>
      </c>
      <c r="AA35" s="2">
        <f t="shared" si="5"/>
        <v>1.2813169191307261</v>
      </c>
      <c r="AB35" s="2">
        <f t="shared" si="6"/>
        <v>1.0640590334361142</v>
      </c>
      <c r="AC35" s="2">
        <f t="shared" si="7"/>
        <v>1.3242174543135629E-2</v>
      </c>
      <c r="AD35" s="2">
        <f t="shared" si="8"/>
        <v>2833705.6852046954</v>
      </c>
      <c r="AI35">
        <f t="shared" si="9"/>
        <v>1.780424843109829E-6</v>
      </c>
      <c r="AK35">
        <f t="shared" si="10"/>
        <v>9.382917720079247E-6</v>
      </c>
      <c r="AL35">
        <f t="shared" si="11"/>
        <v>-3.9854254175741715</v>
      </c>
      <c r="AM35">
        <f t="shared" si="12"/>
        <v>15.088725264463925</v>
      </c>
      <c r="AN35">
        <f t="shared" si="13"/>
        <v>227.66963010647194</v>
      </c>
      <c r="AO35">
        <f t="shared" si="14"/>
        <v>4.3923293569385615E-3</v>
      </c>
      <c r="AQ35" s="3">
        <f t="shared" si="45"/>
        <v>155.20000000000022</v>
      </c>
      <c r="AR35" s="3">
        <f t="shared" si="15"/>
        <v>615.20000000000027</v>
      </c>
      <c r="AS35">
        <f t="shared" si="51"/>
        <v>640.88253500900555</v>
      </c>
      <c r="AV35" s="3">
        <f t="shared" si="16"/>
        <v>1.6405333333333341</v>
      </c>
      <c r="AW35" s="3">
        <f t="shared" si="17"/>
        <v>0.95511555142921845</v>
      </c>
      <c r="AX35" s="4">
        <v>0.8</v>
      </c>
      <c r="AY35" s="5">
        <f t="shared" si="18"/>
        <v>0.19649189203147011</v>
      </c>
      <c r="AZ35" s="5">
        <f t="shared" si="19"/>
        <v>-8.8191296681194256E-2</v>
      </c>
      <c r="BA35" s="5">
        <f t="shared" si="20"/>
        <v>6.4600787272787461E-3</v>
      </c>
      <c r="BB35" s="5">
        <f t="shared" si="21"/>
        <v>-1.1759153386054592E-5</v>
      </c>
      <c r="BC35" s="5">
        <f t="shared" si="22"/>
        <v>5.5131799466252461E-3</v>
      </c>
      <c r="BD35" s="5">
        <f t="shared" si="23"/>
        <v>0.9725467478461306</v>
      </c>
      <c r="BE35" s="6">
        <f t="shared" si="24"/>
        <v>0.92364236642685138</v>
      </c>
      <c r="BF35" s="7">
        <f t="shared" si="25"/>
        <v>0.12364236642685134</v>
      </c>
      <c r="BG35" s="5">
        <v>0.85</v>
      </c>
      <c r="BH35" s="5">
        <f t="shared" si="26"/>
        <v>0.18493354544138366</v>
      </c>
      <c r="BI35" s="5">
        <f t="shared" si="27"/>
        <v>-8.3003573347006379E-2</v>
      </c>
      <c r="BJ35" s="5">
        <f t="shared" si="28"/>
        <v>5.7224226788351543E-3</v>
      </c>
      <c r="BK35" s="5">
        <f t="shared" si="29"/>
        <v>-8.6842308915162523E-6</v>
      </c>
      <c r="BL35" s="5">
        <f t="shared" si="30"/>
        <v>4.8685443789681865E-3</v>
      </c>
      <c r="BM35" s="5">
        <f t="shared" si="31"/>
        <v>0.9756430371421706</v>
      </c>
      <c r="BN35" s="8">
        <f t="shared" si="32"/>
        <v>0.92747749498707832</v>
      </c>
      <c r="BO35" s="9">
        <f t="shared" si="33"/>
        <v>7.7477494987078344E-2</v>
      </c>
      <c r="BP35" s="10">
        <f t="shared" si="34"/>
        <v>-0.92329742879546106</v>
      </c>
      <c r="BQ35" s="10">
        <f t="shared" si="35"/>
        <v>0.93391390744817293</v>
      </c>
    </row>
    <row r="36" spans="2:69">
      <c r="B36">
        <f t="shared" si="36"/>
        <v>4000</v>
      </c>
      <c r="C36">
        <f t="shared" si="46"/>
        <v>156.00000000000023</v>
      </c>
      <c r="D36">
        <f t="shared" si="0"/>
        <v>616.00000000000023</v>
      </c>
      <c r="E36">
        <f t="shared" si="37"/>
        <v>615.60000000000025</v>
      </c>
      <c r="F36">
        <f t="shared" si="47"/>
        <v>648.34634805517999</v>
      </c>
      <c r="G36">
        <f t="shared" si="38"/>
        <v>644.61444153209277</v>
      </c>
      <c r="H36">
        <f t="shared" si="1"/>
        <v>0.93350491140189229</v>
      </c>
      <c r="I36">
        <f t="shared" si="39"/>
        <v>0.93370940942503267</v>
      </c>
      <c r="K36">
        <f t="shared" si="40"/>
        <v>-7.5822861693562501E-3</v>
      </c>
      <c r="L36">
        <f t="shared" si="41"/>
        <v>4.3923293569385615E-3</v>
      </c>
      <c r="M36">
        <f t="shared" si="48"/>
        <v>318041265.93427551</v>
      </c>
      <c r="N36">
        <f t="shared" si="49"/>
        <v>430051.77019493625</v>
      </c>
      <c r="O36">
        <f t="shared" si="50"/>
        <v>655.78332564570155</v>
      </c>
      <c r="Q36" s="2">
        <f t="shared" si="42"/>
        <v>1.9786632126243886</v>
      </c>
      <c r="R36" s="2">
        <f t="shared" si="2"/>
        <v>3.1709346356160073E-2</v>
      </c>
      <c r="W36" s="2">
        <f t="shared" si="3"/>
        <v>148019.34532538737</v>
      </c>
      <c r="X36" s="2">
        <f t="shared" si="43"/>
        <v>1187.8754300000003</v>
      </c>
      <c r="Y36" s="2">
        <f t="shared" si="4"/>
        <v>124.60847458170537</v>
      </c>
      <c r="Z36" s="2">
        <f t="shared" si="44"/>
        <v>5.2392984462987009</v>
      </c>
      <c r="AA36" s="2">
        <f t="shared" si="5"/>
        <v>1.2817800255431691</v>
      </c>
      <c r="AB36" s="2">
        <f t="shared" si="6"/>
        <v>1.064839312326064</v>
      </c>
      <c r="AC36" s="2">
        <f t="shared" si="7"/>
        <v>1.3268800238358297E-2</v>
      </c>
      <c r="AD36" s="2">
        <f t="shared" si="8"/>
        <v>2828019.4601828665</v>
      </c>
      <c r="AI36">
        <f t="shared" si="9"/>
        <v>1.7840046969386009E-6</v>
      </c>
      <c r="AK36">
        <f t="shared" si="10"/>
        <v>9.3998595295219413E-6</v>
      </c>
      <c r="AL36">
        <f t="shared" si="11"/>
        <v>-3.9853542742834827</v>
      </c>
      <c r="AM36">
        <f t="shared" si="12"/>
        <v>15.088579897171948</v>
      </c>
      <c r="AN36">
        <f t="shared" si="13"/>
        <v>227.66524331334145</v>
      </c>
      <c r="AO36">
        <f t="shared" si="14"/>
        <v>4.3924139910266171E-3</v>
      </c>
      <c r="AQ36" s="3">
        <f t="shared" si="45"/>
        <v>156.00000000000023</v>
      </c>
      <c r="AR36" s="3">
        <f t="shared" si="15"/>
        <v>616.00000000000023</v>
      </c>
      <c r="AS36">
        <f t="shared" si="51"/>
        <v>648.34634805517999</v>
      </c>
      <c r="AV36" s="3">
        <f t="shared" si="16"/>
        <v>1.6426666666666672</v>
      </c>
      <c r="AW36" s="3">
        <f t="shared" si="17"/>
        <v>0.96623896878566318</v>
      </c>
      <c r="AX36" s="4">
        <v>0.8</v>
      </c>
      <c r="AY36" s="5">
        <f t="shared" si="18"/>
        <v>0.19852210955671343</v>
      </c>
      <c r="AZ36" s="5">
        <f t="shared" si="19"/>
        <v>-8.8837593605895215E-2</v>
      </c>
      <c r="BA36" s="5">
        <f t="shared" si="20"/>
        <v>6.6102201107876447E-3</v>
      </c>
      <c r="BB36" s="5">
        <f t="shared" si="21"/>
        <v>-1.2366150855133913E-5</v>
      </c>
      <c r="BC36" s="5">
        <f t="shared" si="22"/>
        <v>5.6089523697195626E-3</v>
      </c>
      <c r="BD36" s="5">
        <f t="shared" si="23"/>
        <v>0.97198456801487942</v>
      </c>
      <c r="BE36" s="6">
        <f t="shared" si="24"/>
        <v>0.92323680780184547</v>
      </c>
      <c r="BF36" s="7">
        <f t="shared" si="25"/>
        <v>0.12323680780184543</v>
      </c>
      <c r="BG36" s="5">
        <v>0.85</v>
      </c>
      <c r="BH36" s="5">
        <f t="shared" si="26"/>
        <v>0.18684433840631853</v>
      </c>
      <c r="BI36" s="5">
        <f t="shared" si="27"/>
        <v>-8.3611852805548434E-2</v>
      </c>
      <c r="BJ36" s="5">
        <f t="shared" si="28"/>
        <v>5.8554198905246971E-3</v>
      </c>
      <c r="BK36" s="5">
        <f t="shared" si="29"/>
        <v>-9.1325034838528845E-6</v>
      </c>
      <c r="BL36" s="5">
        <f t="shared" si="30"/>
        <v>4.9528081500728651E-3</v>
      </c>
      <c r="BM36" s="5">
        <f t="shared" si="31"/>
        <v>0.97514344892990068</v>
      </c>
      <c r="BN36" s="8">
        <f t="shared" si="32"/>
        <v>0.9270823980098104</v>
      </c>
      <c r="BO36" s="9">
        <f t="shared" si="33"/>
        <v>7.7082398009810427E-2</v>
      </c>
      <c r="BP36" s="10">
        <f t="shared" si="34"/>
        <v>-0.92308819584070123</v>
      </c>
      <c r="BQ36" s="10">
        <f t="shared" si="35"/>
        <v>0.93350491140189229</v>
      </c>
    </row>
    <row r="37" spans="2:69">
      <c r="B37">
        <f t="shared" si="36"/>
        <v>4200</v>
      </c>
      <c r="C37">
        <f t="shared" si="46"/>
        <v>156.80000000000024</v>
      </c>
      <c r="D37">
        <f t="shared" si="0"/>
        <v>616.80000000000018</v>
      </c>
      <c r="E37">
        <f t="shared" si="37"/>
        <v>616.4000000000002</v>
      </c>
      <c r="F37">
        <f t="shared" si="47"/>
        <v>655.78332564570155</v>
      </c>
      <c r="G37">
        <f t="shared" si="38"/>
        <v>652.06483685044077</v>
      </c>
      <c r="H37">
        <f t="shared" si="1"/>
        <v>0.93310585588220141</v>
      </c>
      <c r="I37">
        <f t="shared" si="39"/>
        <v>0.93330538364204685</v>
      </c>
      <c r="K37">
        <f t="shared" si="40"/>
        <v>-7.575723528995883E-3</v>
      </c>
      <c r="L37">
        <f t="shared" si="41"/>
        <v>4.3924139910266171E-3</v>
      </c>
      <c r="M37">
        <f t="shared" si="48"/>
        <v>318598664.19159818</v>
      </c>
      <c r="N37">
        <f t="shared" si="49"/>
        <v>439827.26230929105</v>
      </c>
      <c r="O37">
        <f t="shared" si="50"/>
        <v>663.19473935586302</v>
      </c>
      <c r="Q37" s="2">
        <f t="shared" si="42"/>
        <v>1.9996188390915581</v>
      </c>
      <c r="R37" s="2">
        <f t="shared" si="2"/>
        <v>3.2045173703390356E-2</v>
      </c>
      <c r="W37" s="2">
        <f t="shared" si="3"/>
        <v>148307.78829907041</v>
      </c>
      <c r="X37" s="2">
        <f t="shared" si="43"/>
        <v>1188.6754300000002</v>
      </c>
      <c r="Y37" s="2">
        <f t="shared" si="4"/>
        <v>124.76726998476815</v>
      </c>
      <c r="Z37" s="2">
        <f t="shared" si="44"/>
        <v>5.2372215348832674</v>
      </c>
      <c r="AA37" s="2">
        <f t="shared" si="5"/>
        <v>1.2822419306419615</v>
      </c>
      <c r="AB37" s="2">
        <f t="shared" si="6"/>
        <v>1.0656145708089526</v>
      </c>
      <c r="AC37" s="2">
        <f t="shared" si="7"/>
        <v>1.3295382085582343E-2</v>
      </c>
      <c r="AD37" s="2">
        <f t="shared" si="8"/>
        <v>2822365.3179586479</v>
      </c>
      <c r="AI37">
        <f t="shared" si="9"/>
        <v>1.7875786553560253E-6</v>
      </c>
      <c r="AK37">
        <f t="shared" si="10"/>
        <v>9.416769983378292E-6</v>
      </c>
      <c r="AL37">
        <f t="shared" si="11"/>
        <v>-3.9852832742834692</v>
      </c>
      <c r="AM37">
        <f t="shared" si="12"/>
        <v>15.088434786151264</v>
      </c>
      <c r="AN37">
        <f t="shared" si="13"/>
        <v>227.66086429593955</v>
      </c>
      <c r="AO37">
        <f t="shared" si="14"/>
        <v>4.3924984783510531E-3</v>
      </c>
      <c r="AQ37" s="3">
        <f t="shared" si="45"/>
        <v>156.80000000000024</v>
      </c>
      <c r="AR37" s="3">
        <f t="shared" si="15"/>
        <v>616.80000000000018</v>
      </c>
      <c r="AS37">
        <f t="shared" si="51"/>
        <v>655.78332564570155</v>
      </c>
      <c r="AV37" s="3">
        <f t="shared" si="16"/>
        <v>1.6448000000000005</v>
      </c>
      <c r="AW37" s="3">
        <f t="shared" si="17"/>
        <v>0.97732239291460743</v>
      </c>
      <c r="AX37" s="4">
        <v>0.8</v>
      </c>
      <c r="AY37" s="5">
        <f t="shared" si="18"/>
        <v>0.20053885433407095</v>
      </c>
      <c r="AZ37" s="5">
        <f t="shared" si="19"/>
        <v>-8.9473419724214978E-2</v>
      </c>
      <c r="BA37" s="5">
        <f t="shared" si="20"/>
        <v>6.7614553547146305E-3</v>
      </c>
      <c r="BB37" s="5">
        <f t="shared" si="21"/>
        <v>-1.2993330200893032E-5</v>
      </c>
      <c r="BC37" s="5">
        <f t="shared" si="22"/>
        <v>5.7044668771608796E-3</v>
      </c>
      <c r="BD37" s="5">
        <f t="shared" si="23"/>
        <v>0.97142072419310899</v>
      </c>
      <c r="BE37" s="6">
        <f t="shared" si="24"/>
        <v>0.92284246630564781</v>
      </c>
      <c r="BF37" s="7">
        <f t="shared" si="25"/>
        <v>0.12284246630564777</v>
      </c>
      <c r="BG37" s="5">
        <v>0.85</v>
      </c>
      <c r="BH37" s="5">
        <f t="shared" si="26"/>
        <v>0.18874245113794913</v>
      </c>
      <c r="BI37" s="5">
        <f t="shared" si="27"/>
        <v>-8.4210277387496452E-2</v>
      </c>
      <c r="BJ37" s="5">
        <f t="shared" si="28"/>
        <v>5.9893860581555205E-3</v>
      </c>
      <c r="BK37" s="5">
        <f t="shared" si="29"/>
        <v>-9.5956805570783607E-6</v>
      </c>
      <c r="BL37" s="5">
        <f t="shared" si="30"/>
        <v>5.0368328320947679E-3</v>
      </c>
      <c r="BM37" s="5">
        <f t="shared" si="31"/>
        <v>0.97464234884897316</v>
      </c>
      <c r="BN37" s="8">
        <f t="shared" si="32"/>
        <v>0.92669781493344849</v>
      </c>
      <c r="BO37" s="9">
        <f t="shared" si="33"/>
        <v>7.6697814933448516E-2</v>
      </c>
      <c r="BP37" s="10">
        <f t="shared" si="34"/>
        <v>-0.92289302744398627</v>
      </c>
      <c r="BQ37" s="10">
        <f t="shared" si="35"/>
        <v>0.93310585588220141</v>
      </c>
    </row>
    <row r="38" spans="2:69">
      <c r="B38">
        <f t="shared" si="36"/>
        <v>4400</v>
      </c>
      <c r="C38">
        <f t="shared" si="46"/>
        <v>157.60000000000025</v>
      </c>
      <c r="D38">
        <f t="shared" si="0"/>
        <v>617.60000000000025</v>
      </c>
      <c r="E38">
        <f t="shared" si="37"/>
        <v>617.20000000000027</v>
      </c>
      <c r="F38">
        <f t="shared" si="47"/>
        <v>663.19473935586302</v>
      </c>
      <c r="G38">
        <f t="shared" si="38"/>
        <v>659.48903250078229</v>
      </c>
      <c r="H38">
        <f t="shared" si="1"/>
        <v>0.9327165212482702</v>
      </c>
      <c r="I38">
        <f t="shared" si="39"/>
        <v>0.9329111885652358</v>
      </c>
      <c r="K38">
        <f t="shared" si="40"/>
        <v>-7.5691009755254092E-3</v>
      </c>
      <c r="L38">
        <f t="shared" si="41"/>
        <v>4.3924984783510531E-3</v>
      </c>
      <c r="M38">
        <f t="shared" si="48"/>
        <v>319162560.16387349</v>
      </c>
      <c r="N38">
        <f t="shared" si="49"/>
        <v>449679.95247159369</v>
      </c>
      <c r="O38">
        <f t="shared" si="50"/>
        <v>670.58180147659368</v>
      </c>
      <c r="Q38" s="2">
        <f t="shared" si="42"/>
        <v>2.0204413385115476</v>
      </c>
      <c r="R38" s="2">
        <f t="shared" si="2"/>
        <v>3.2378867604351727E-2</v>
      </c>
      <c r="W38" s="2">
        <f t="shared" si="3"/>
        <v>148596.41839116029</v>
      </c>
      <c r="X38" s="2">
        <f t="shared" si="43"/>
        <v>1189.4754300000004</v>
      </c>
      <c r="Y38" s="2">
        <f t="shared" si="4"/>
        <v>124.92600909895233</v>
      </c>
      <c r="Z38" s="2">
        <f t="shared" si="44"/>
        <v>5.2351500040673562</v>
      </c>
      <c r="AA38" s="2">
        <f t="shared" si="5"/>
        <v>1.2827026390954201</v>
      </c>
      <c r="AB38" s="2">
        <f t="shared" si="6"/>
        <v>1.0663849420640472</v>
      </c>
      <c r="AC38" s="2">
        <f t="shared" si="7"/>
        <v>1.3321921497527893E-2</v>
      </c>
      <c r="AD38" s="2">
        <f t="shared" si="8"/>
        <v>2816742.7119518467</v>
      </c>
      <c r="AI38">
        <f t="shared" si="9"/>
        <v>1.7911469083038671E-6</v>
      </c>
      <c r="AK38">
        <f t="shared" si="10"/>
        <v>9.4336500047692367E-6</v>
      </c>
      <c r="AL38">
        <f t="shared" si="11"/>
        <v>-3.9852124136309159</v>
      </c>
      <c r="AM38">
        <f t="shared" si="12"/>
        <v>15.088289923602407</v>
      </c>
      <c r="AN38">
        <f t="shared" si="13"/>
        <v>227.65649281868193</v>
      </c>
      <c r="AO38">
        <f t="shared" si="14"/>
        <v>4.3925828234402898E-3</v>
      </c>
      <c r="AQ38" s="3">
        <f t="shared" si="45"/>
        <v>157.60000000000025</v>
      </c>
      <c r="AR38" s="3">
        <f t="shared" si="15"/>
        <v>617.60000000000025</v>
      </c>
      <c r="AS38">
        <f t="shared" si="51"/>
        <v>663.19473935586302</v>
      </c>
      <c r="AV38" s="3">
        <f t="shared" si="16"/>
        <v>1.646933333333334</v>
      </c>
      <c r="AW38" s="3">
        <f t="shared" si="17"/>
        <v>0.98836771886119679</v>
      </c>
      <c r="AX38" s="4">
        <v>0.8</v>
      </c>
      <c r="AY38" s="5">
        <f t="shared" si="18"/>
        <v>0.20254256706342319</v>
      </c>
      <c r="AZ38" s="5">
        <f t="shared" si="19"/>
        <v>-9.0099048537900878E-2</v>
      </c>
      <c r="BA38" s="5">
        <f t="shared" si="20"/>
        <v>6.9137886267657328E-3</v>
      </c>
      <c r="BB38" s="5">
        <f t="shared" si="21"/>
        <v>-1.3641041099071866E-5</v>
      </c>
      <c r="BC38" s="5">
        <f t="shared" si="22"/>
        <v>5.7997271222078621E-3</v>
      </c>
      <c r="BD38" s="5">
        <f t="shared" si="23"/>
        <v>0.97085520880858744</v>
      </c>
      <c r="BE38" s="6">
        <f t="shared" si="24"/>
        <v>0.92245907641622782</v>
      </c>
      <c r="BF38" s="7">
        <f t="shared" si="25"/>
        <v>0.12245907641622777</v>
      </c>
      <c r="BG38" s="5">
        <v>0.85</v>
      </c>
      <c r="BH38" s="5">
        <f t="shared" si="26"/>
        <v>0.19062829841263362</v>
      </c>
      <c r="BI38" s="5">
        <f t="shared" si="27"/>
        <v>-8.4799104506259673E-2</v>
      </c>
      <c r="BJ38" s="5">
        <f t="shared" si="28"/>
        <v>6.1243248735364294E-3</v>
      </c>
      <c r="BK38" s="5">
        <f t="shared" si="29"/>
        <v>-1.0074020349584777E-5</v>
      </c>
      <c r="BL38" s="5">
        <f t="shared" si="30"/>
        <v>5.1206216522542355E-3</v>
      </c>
      <c r="BM38" s="5">
        <f t="shared" si="31"/>
        <v>0.97413972985369268</v>
      </c>
      <c r="BN38" s="8">
        <f t="shared" si="32"/>
        <v>0.92632349538063619</v>
      </c>
      <c r="BO38" s="9">
        <f t="shared" si="33"/>
        <v>7.6323495380636208E-2</v>
      </c>
      <c r="BP38" s="10">
        <f t="shared" si="34"/>
        <v>-0.92271162071183255</v>
      </c>
      <c r="BQ38" s="10">
        <f t="shared" si="35"/>
        <v>0.9327165212482702</v>
      </c>
    </row>
    <row r="39" spans="2:69">
      <c r="B39">
        <f t="shared" si="36"/>
        <v>4600</v>
      </c>
      <c r="C39">
        <f t="shared" si="46"/>
        <v>158.40000000000026</v>
      </c>
      <c r="D39">
        <f t="shared" si="0"/>
        <v>618.40000000000032</v>
      </c>
      <c r="E39">
        <f t="shared" si="37"/>
        <v>618.00000000000023</v>
      </c>
      <c r="F39">
        <f t="shared" si="47"/>
        <v>670.58180147659368</v>
      </c>
      <c r="G39">
        <f t="shared" si="38"/>
        <v>666.88827041622835</v>
      </c>
      <c r="H39">
        <f t="shared" si="1"/>
        <v>0.93233669712842204</v>
      </c>
      <c r="I39">
        <f t="shared" si="39"/>
        <v>0.93252660918834618</v>
      </c>
      <c r="K39">
        <f t="shared" si="40"/>
        <v>-7.5624202868297373E-3</v>
      </c>
      <c r="L39">
        <f t="shared" si="41"/>
        <v>4.3925828234402898E-3</v>
      </c>
      <c r="M39">
        <f t="shared" si="48"/>
        <v>319732849.00283736</v>
      </c>
      <c r="N39">
        <f t="shared" si="49"/>
        <v>459610.32976659766</v>
      </c>
      <c r="O39">
        <f t="shared" si="50"/>
        <v>677.94566874241309</v>
      </c>
      <c r="Q39" s="2">
        <f t="shared" si="42"/>
        <v>2.0411345480921597</v>
      </c>
      <c r="R39" s="2">
        <f t="shared" si="2"/>
        <v>3.2710489552758973E-2</v>
      </c>
      <c r="W39" s="2">
        <f t="shared" si="3"/>
        <v>148885.23548042701</v>
      </c>
      <c r="X39" s="2">
        <f t="shared" si="43"/>
        <v>1190.2754300000004</v>
      </c>
      <c r="Y39" s="2">
        <f t="shared" si="4"/>
        <v>125.0846919359051</v>
      </c>
      <c r="Z39" s="2">
        <f t="shared" si="44"/>
        <v>5.2330838329689513</v>
      </c>
      <c r="AA39" s="2">
        <f t="shared" si="5"/>
        <v>1.2831621555477053</v>
      </c>
      <c r="AB39" s="2">
        <f t="shared" si="6"/>
        <v>1.06715055358127</v>
      </c>
      <c r="AC39" s="2">
        <f t="shared" si="7"/>
        <v>1.3348419824394376E-2</v>
      </c>
      <c r="AD39" s="2">
        <f t="shared" si="8"/>
        <v>2811151.1160879168</v>
      </c>
      <c r="AI39">
        <f t="shared" si="9"/>
        <v>1.7947096373179161E-6</v>
      </c>
      <c r="AK39">
        <f t="shared" si="10"/>
        <v>9.4505004762000023E-6</v>
      </c>
      <c r="AL39">
        <f t="shared" si="11"/>
        <v>-3.985141688555752</v>
      </c>
      <c r="AM39">
        <f t="shared" si="12"/>
        <v>15.088145302070874</v>
      </c>
      <c r="AN39">
        <f t="shared" si="13"/>
        <v>227.65212865640339</v>
      </c>
      <c r="AO39">
        <f t="shared" si="14"/>
        <v>4.3926670306224345E-3</v>
      </c>
      <c r="AQ39" s="3">
        <f t="shared" si="45"/>
        <v>158.40000000000026</v>
      </c>
      <c r="AR39" s="3">
        <f t="shared" si="15"/>
        <v>618.40000000000032</v>
      </c>
      <c r="AS39">
        <f t="shared" si="51"/>
        <v>670.58180147659368</v>
      </c>
      <c r="AV39" s="3">
        <f t="shared" si="16"/>
        <v>1.6490666666666676</v>
      </c>
      <c r="AW39" s="3">
        <f t="shared" si="17"/>
        <v>0.99937675331832143</v>
      </c>
      <c r="AX39" s="4">
        <v>0.8</v>
      </c>
      <c r="AY39" s="5">
        <f t="shared" si="18"/>
        <v>0.20453366808190487</v>
      </c>
      <c r="AZ39" s="5">
        <f t="shared" si="19"/>
        <v>-9.0714741636126278E-2</v>
      </c>
      <c r="BA39" s="5">
        <f t="shared" si="20"/>
        <v>7.0672240750606196E-3</v>
      </c>
      <c r="BB39" s="5">
        <f t="shared" si="21"/>
        <v>-1.4309635973582236E-5</v>
      </c>
      <c r="BC39" s="5">
        <f t="shared" si="22"/>
        <v>5.8947366943476456E-3</v>
      </c>
      <c r="BD39" s="5">
        <f t="shared" si="23"/>
        <v>0.97028801447878488</v>
      </c>
      <c r="BE39" s="6">
        <f t="shared" si="24"/>
        <v>0.92208638443794178</v>
      </c>
      <c r="BF39" s="7">
        <f t="shared" si="25"/>
        <v>0.12208638443794173</v>
      </c>
      <c r="BG39" s="5">
        <v>0.85</v>
      </c>
      <c r="BH39" s="5">
        <f t="shared" si="26"/>
        <v>0.19250227584179286</v>
      </c>
      <c r="BI39" s="5">
        <f t="shared" si="27"/>
        <v>-8.5378580363412976E-2</v>
      </c>
      <c r="BJ39" s="5">
        <f t="shared" si="28"/>
        <v>6.260240011126364E-3</v>
      </c>
      <c r="BK39" s="5">
        <f t="shared" si="29"/>
        <v>-1.0567783129311601E-5</v>
      </c>
      <c r="BL39" s="5">
        <f t="shared" si="30"/>
        <v>5.2041777807900558E-3</v>
      </c>
      <c r="BM39" s="5">
        <f t="shared" si="31"/>
        <v>0.97363558506391179</v>
      </c>
      <c r="BN39" s="8">
        <f t="shared" si="32"/>
        <v>0.92595920010921895</v>
      </c>
      <c r="BO39" s="9">
        <f t="shared" si="33"/>
        <v>7.5959200109218972E-2</v>
      </c>
      <c r="BP39" s="10">
        <f t="shared" si="34"/>
        <v>-0.9225436865744564</v>
      </c>
      <c r="BQ39" s="10">
        <f t="shared" si="35"/>
        <v>0.93233669712842204</v>
      </c>
    </row>
    <row r="40" spans="2:69">
      <c r="B40">
        <f t="shared" si="36"/>
        <v>4800</v>
      </c>
      <c r="C40">
        <f t="shared" si="46"/>
        <v>159.20000000000027</v>
      </c>
      <c r="D40">
        <f t="shared" si="0"/>
        <v>619.20000000000027</v>
      </c>
      <c r="E40">
        <f t="shared" si="37"/>
        <v>618.8000000000003</v>
      </c>
      <c r="F40">
        <f t="shared" si="47"/>
        <v>677.94566874241309</v>
      </c>
      <c r="G40">
        <f t="shared" si="38"/>
        <v>674.26373510950339</v>
      </c>
      <c r="H40">
        <f t="shared" si="1"/>
        <v>0.93196618186241742</v>
      </c>
      <c r="I40">
        <f t="shared" si="39"/>
        <v>0.93215143949541979</v>
      </c>
      <c r="K40">
        <f t="shared" si="40"/>
        <v>-7.5556831688676366E-3</v>
      </c>
      <c r="L40">
        <f t="shared" si="41"/>
        <v>4.3926670306224345E-3</v>
      </c>
      <c r="M40">
        <f t="shared" si="48"/>
        <v>320309430.99014497</v>
      </c>
      <c r="N40">
        <f t="shared" si="49"/>
        <v>469618.88332307659</v>
      </c>
      <c r="O40">
        <f t="shared" si="50"/>
        <v>685.2874457649699</v>
      </c>
      <c r="Q40" s="2">
        <f t="shared" si="42"/>
        <v>2.0617021281244527</v>
      </c>
      <c r="R40" s="2">
        <f t="shared" si="2"/>
        <v>3.3040098207122642E-2</v>
      </c>
      <c r="W40" s="2">
        <f t="shared" si="3"/>
        <v>149174.23944587586</v>
      </c>
      <c r="X40" s="2">
        <f t="shared" si="43"/>
        <v>1191.0754300000003</v>
      </c>
      <c r="Y40" s="2">
        <f t="shared" si="4"/>
        <v>125.24331850743981</v>
      </c>
      <c r="Z40" s="2">
        <f t="shared" si="44"/>
        <v>5.231023000813952</v>
      </c>
      <c r="AA40" s="2">
        <f t="shared" si="5"/>
        <v>1.2836204846189772</v>
      </c>
      <c r="AB40" s="2">
        <f t="shared" si="6"/>
        <v>1.0679115274948083</v>
      </c>
      <c r="AC40" s="2">
        <f t="shared" si="7"/>
        <v>1.3374878357579886E-2</v>
      </c>
      <c r="AD40" s="2">
        <f t="shared" si="8"/>
        <v>2805590.0236348892</v>
      </c>
      <c r="AI40">
        <f t="shared" si="9"/>
        <v>1.7982670160280578E-6</v>
      </c>
      <c r="AK40">
        <f t="shared" si="10"/>
        <v>9.467322241972346E-6</v>
      </c>
      <c r="AL40">
        <f t="shared" si="11"/>
        <v>-3.9850710954507802</v>
      </c>
      <c r="AM40">
        <f t="shared" si="12"/>
        <v>15.088000914426624</v>
      </c>
      <c r="AN40">
        <f t="shared" si="13"/>
        <v>227.64777159373864</v>
      </c>
      <c r="AO40">
        <f t="shared" si="14"/>
        <v>4.3927511040371837E-3</v>
      </c>
      <c r="AQ40" s="3">
        <f t="shared" si="45"/>
        <v>159.20000000000027</v>
      </c>
      <c r="AR40" s="3">
        <f t="shared" si="15"/>
        <v>619.20000000000027</v>
      </c>
      <c r="AS40">
        <f t="shared" si="51"/>
        <v>677.94566874241309</v>
      </c>
      <c r="AV40" s="3">
        <f t="shared" si="16"/>
        <v>1.6512000000000007</v>
      </c>
      <c r="AW40" s="3">
        <f t="shared" si="17"/>
        <v>1.0103512201824338</v>
      </c>
      <c r="AX40" s="4">
        <v>0.8</v>
      </c>
      <c r="AY40" s="5">
        <f t="shared" si="18"/>
        <v>0.20651255863103879</v>
      </c>
      <c r="AZ40" s="5">
        <f t="shared" si="19"/>
        <v>-9.1320749415427782E-2</v>
      </c>
      <c r="BA40" s="5">
        <f t="shared" si="20"/>
        <v>7.2217658288601669E-3</v>
      </c>
      <c r="BB40" s="5">
        <f t="shared" si="21"/>
        <v>-1.4999470037195909E-5</v>
      </c>
      <c r="BC40" s="5">
        <f t="shared" si="22"/>
        <v>5.9894991211875805E-3</v>
      </c>
      <c r="BD40" s="5">
        <f t="shared" si="23"/>
        <v>0.96971913400534671</v>
      </c>
      <c r="BE40" s="6">
        <f t="shared" si="24"/>
        <v>0.92172414778439338</v>
      </c>
      <c r="BF40" s="7">
        <f t="shared" si="25"/>
        <v>0.12172414778439333</v>
      </c>
      <c r="BG40" s="5">
        <v>0.85</v>
      </c>
      <c r="BH40" s="5">
        <f t="shared" si="26"/>
        <v>0.19436476106450715</v>
      </c>
      <c r="BI40" s="5">
        <f t="shared" si="27"/>
        <v>-8.5948940626284998E-2</v>
      </c>
      <c r="BJ40" s="5">
        <f t="shared" si="28"/>
        <v>6.3971351286789052E-3</v>
      </c>
      <c r="BK40" s="5">
        <f t="shared" si="29"/>
        <v>-1.1077231223794197E-5</v>
      </c>
      <c r="BL40" s="5">
        <f t="shared" si="30"/>
        <v>5.2875043326498618E-3</v>
      </c>
      <c r="BM40" s="5">
        <f t="shared" si="31"/>
        <v>0.97312990776015518</v>
      </c>
      <c r="BN40" s="8">
        <f t="shared" si="32"/>
        <v>0.92560470033713071</v>
      </c>
      <c r="BO40" s="9">
        <f t="shared" si="33"/>
        <v>7.5604700337130737E-2</v>
      </c>
      <c r="BP40" s="10">
        <f t="shared" si="34"/>
        <v>-0.92238894894525314</v>
      </c>
      <c r="BQ40" s="10">
        <f t="shared" si="35"/>
        <v>0.93196618186241742</v>
      </c>
    </row>
    <row r="41" spans="2:69">
      <c r="B41">
        <f t="shared" si="36"/>
        <v>5000</v>
      </c>
      <c r="C41">
        <f t="shared" si="46"/>
        <v>160.00000000000028</v>
      </c>
      <c r="D41">
        <f t="shared" si="0"/>
        <v>620.00000000000023</v>
      </c>
      <c r="E41">
        <f t="shared" si="37"/>
        <v>619.60000000000025</v>
      </c>
      <c r="F41">
        <f t="shared" si="47"/>
        <v>685.2874457649699</v>
      </c>
      <c r="G41">
        <f t="shared" si="38"/>
        <v>681.61655725369155</v>
      </c>
      <c r="H41">
        <f t="shared" si="1"/>
        <v>0.93160478198654539</v>
      </c>
      <c r="I41">
        <f t="shared" si="39"/>
        <v>0.93178548192448141</v>
      </c>
      <c r="K41">
        <f t="shared" si="40"/>
        <v>-7.5488912598862708E-3</v>
      </c>
      <c r="L41">
        <f t="shared" si="41"/>
        <v>4.3927511040371837E-3</v>
      </c>
      <c r="M41">
        <f t="shared" si="48"/>
        <v>320892211.22257632</v>
      </c>
      <c r="N41">
        <f t="shared" si="49"/>
        <v>479706.10236167797</v>
      </c>
      <c r="O41">
        <f t="shared" si="50"/>
        <v>692.60818819999372</v>
      </c>
      <c r="Q41" s="2">
        <f t="shared" si="42"/>
        <v>2.0821475728221519</v>
      </c>
      <c r="R41" s="2">
        <f t="shared" si="2"/>
        <v>3.3367749564457566E-2</v>
      </c>
      <c r="W41" s="2">
        <f t="shared" si="3"/>
        <v>149463.4301667469</v>
      </c>
      <c r="X41" s="2">
        <f t="shared" si="43"/>
        <v>1191.8754300000003</v>
      </c>
      <c r="Y41" s="2">
        <f t="shared" si="4"/>
        <v>125.40188882553511</v>
      </c>
      <c r="Z41" s="2">
        <f t="shared" si="44"/>
        <v>5.228967486935483</v>
      </c>
      <c r="AA41" s="2">
        <f t="shared" si="5"/>
        <v>1.2840776309055488</v>
      </c>
      <c r="AB41" s="2">
        <f t="shared" si="6"/>
        <v>1.0686679808915815</v>
      </c>
      <c r="AC41" s="2">
        <f t="shared" si="7"/>
        <v>1.340129833311752E-2</v>
      </c>
      <c r="AD41" s="2">
        <f t="shared" si="8"/>
        <v>2800058.9461265341</v>
      </c>
      <c r="AI41">
        <f t="shared" si="9"/>
        <v>1.8018192106202927E-6</v>
      </c>
      <c r="AK41">
        <f t="shared" si="10"/>
        <v>9.4841161104138346E-6</v>
      </c>
      <c r="AL41">
        <f t="shared" si="11"/>
        <v>-3.9850006308621784</v>
      </c>
      <c r="AM41">
        <f t="shared" si="12"/>
        <v>15.087856753845125</v>
      </c>
      <c r="AN41">
        <f t="shared" si="13"/>
        <v>227.64342142454996</v>
      </c>
      <c r="AO41">
        <f t="shared" si="14"/>
        <v>4.3928350476468286E-3</v>
      </c>
      <c r="AQ41" s="3">
        <f t="shared" si="45"/>
        <v>160.00000000000028</v>
      </c>
      <c r="AR41" s="3">
        <f t="shared" si="15"/>
        <v>620.00000000000023</v>
      </c>
      <c r="AS41">
        <f t="shared" si="51"/>
        <v>685.2874457649699</v>
      </c>
      <c r="AV41" s="3">
        <f t="shared" si="16"/>
        <v>1.653333333333334</v>
      </c>
      <c r="AW41" s="3">
        <f t="shared" si="17"/>
        <v>1.0212927656705959</v>
      </c>
      <c r="AX41" s="4">
        <v>0.8</v>
      </c>
      <c r="AY41" s="5">
        <f t="shared" si="18"/>
        <v>0.20847962202449152</v>
      </c>
      <c r="AZ41" s="5">
        <f t="shared" si="19"/>
        <v>-9.1917311744158209E-2</v>
      </c>
      <c r="BA41" s="5">
        <f t="shared" si="20"/>
        <v>7.3774179992386517E-3</v>
      </c>
      <c r="BB41" s="5">
        <f t="shared" si="21"/>
        <v>-1.5710901330987328E-5</v>
      </c>
      <c r="BC41" s="5">
        <f t="shared" si="22"/>
        <v>6.0840178702523057E-3</v>
      </c>
      <c r="BD41" s="5">
        <f t="shared" si="23"/>
        <v>0.96914856036889763</v>
      </c>
      <c r="BE41" s="6">
        <f t="shared" si="24"/>
        <v>0.92137213431662512</v>
      </c>
      <c r="BF41" s="7">
        <f t="shared" si="25"/>
        <v>0.12137213431662508</v>
      </c>
      <c r="BG41" s="5">
        <v>0.85</v>
      </c>
      <c r="BH41" s="5">
        <f t="shared" si="26"/>
        <v>0.1962161148465803</v>
      </c>
      <c r="BI41" s="5">
        <f t="shared" si="27"/>
        <v>-8.6510411053325395E-2</v>
      </c>
      <c r="BJ41" s="5">
        <f t="shared" si="28"/>
        <v>6.535013867837702E-3</v>
      </c>
      <c r="BK41" s="5">
        <f t="shared" si="29"/>
        <v>-1.1602629049292563E-5</v>
      </c>
      <c r="BL41" s="5">
        <f t="shared" si="30"/>
        <v>5.3706043690962251E-3</v>
      </c>
      <c r="BM41" s="5">
        <f t="shared" si="31"/>
        <v>0.97262269137903534</v>
      </c>
      <c r="BN41" s="8">
        <f t="shared" si="32"/>
        <v>0.92525977711936402</v>
      </c>
      <c r="BO41" s="9">
        <f t="shared" si="33"/>
        <v>7.5259777119364046E-2</v>
      </c>
      <c r="BP41" s="10">
        <f t="shared" si="34"/>
        <v>-0.92224714394522189</v>
      </c>
      <c r="BQ41" s="10">
        <f t="shared" si="35"/>
        <v>0.93160478198654539</v>
      </c>
    </row>
    <row r="42" spans="2:69">
      <c r="B42">
        <f t="shared" si="36"/>
        <v>5200</v>
      </c>
      <c r="C42">
        <f t="shared" si="46"/>
        <v>160.8000000000003</v>
      </c>
      <c r="D42">
        <f t="shared" si="0"/>
        <v>620.8000000000003</v>
      </c>
      <c r="E42">
        <f t="shared" si="37"/>
        <v>620.40000000000032</v>
      </c>
      <c r="F42">
        <f t="shared" si="47"/>
        <v>692.60818819999372</v>
      </c>
      <c r="G42">
        <f t="shared" si="38"/>
        <v>688.94781698248175</v>
      </c>
      <c r="H42">
        <f t="shared" si="1"/>
        <v>0.93125231175754153</v>
      </c>
      <c r="I42">
        <f t="shared" si="39"/>
        <v>0.93142854687204346</v>
      </c>
      <c r="K42">
        <f t="shared" si="40"/>
        <v>-7.5420461343175746E-3</v>
      </c>
      <c r="L42">
        <f t="shared" si="41"/>
        <v>4.3928350476468286E-3</v>
      </c>
      <c r="M42">
        <f t="shared" si="48"/>
        <v>321481099.3215943</v>
      </c>
      <c r="N42">
        <f t="shared" si="49"/>
        <v>489872.47623958532</v>
      </c>
      <c r="O42">
        <f t="shared" si="50"/>
        <v>699.90890567243491</v>
      </c>
      <c r="Q42" s="2">
        <f t="shared" si="42"/>
        <v>2.1024742203253064</v>
      </c>
      <c r="R42" s="2">
        <f t="shared" si="2"/>
        <v>3.3693497120597861E-2</v>
      </c>
      <c r="W42" s="2">
        <f t="shared" si="3"/>
        <v>149752.80752251396</v>
      </c>
      <c r="X42" s="2">
        <f t="shared" si="43"/>
        <v>1192.6754300000002</v>
      </c>
      <c r="Y42" s="2">
        <f t="shared" si="4"/>
        <v>125.56040290233356</v>
      </c>
      <c r="Z42" s="2">
        <f t="shared" si="44"/>
        <v>5.2269172707731943</v>
      </c>
      <c r="AA42" s="2">
        <f t="shared" si="5"/>
        <v>1.2845335989800417</v>
      </c>
      <c r="AB42" s="2">
        <f t="shared" si="6"/>
        <v>1.0694200260968605</v>
      </c>
      <c r="AC42" s="2">
        <f t="shared" si="7"/>
        <v>1.3427680934854589E-2</v>
      </c>
      <c r="AD42" s="2">
        <f t="shared" si="8"/>
        <v>2794557.4123639753</v>
      </c>
      <c r="AI42">
        <f t="shared" si="9"/>
        <v>1.8053663802641861E-6</v>
      </c>
      <c r="AK42">
        <f t="shared" si="10"/>
        <v>9.5008828559400813E-6</v>
      </c>
      <c r="AL42">
        <f t="shared" si="11"/>
        <v>-3.9849302914807172</v>
      </c>
      <c r="AM42">
        <f t="shared" si="12"/>
        <v>15.087712813789819</v>
      </c>
      <c r="AN42">
        <f t="shared" si="13"/>
        <v>227.6390779513975</v>
      </c>
      <c r="AO42">
        <f t="shared" si="14"/>
        <v>4.3929188652464448E-3</v>
      </c>
      <c r="AQ42" s="3">
        <f t="shared" si="45"/>
        <v>160.8000000000003</v>
      </c>
      <c r="AR42" s="3">
        <f t="shared" si="15"/>
        <v>620.8000000000003</v>
      </c>
      <c r="AS42">
        <f t="shared" si="51"/>
        <v>692.60818819999372</v>
      </c>
      <c r="AV42" s="3">
        <f t="shared" si="16"/>
        <v>1.6554666666666675</v>
      </c>
      <c r="AW42" s="3">
        <f t="shared" si="17"/>
        <v>1.0322029630402292</v>
      </c>
      <c r="AX42" s="4">
        <v>0.8</v>
      </c>
      <c r="AY42" s="5">
        <f t="shared" si="18"/>
        <v>0.2104352247258037</v>
      </c>
      <c r="AZ42" s="5">
        <f t="shared" si="19"/>
        <v>-9.2504658576620283E-2</v>
      </c>
      <c r="BA42" s="5">
        <f t="shared" si="20"/>
        <v>7.5341846797050182E-3</v>
      </c>
      <c r="BB42" s="5">
        <f t="shared" si="21"/>
        <v>-1.6444290762606555E-5</v>
      </c>
      <c r="BC42" s="5">
        <f t="shared" si="22"/>
        <v>6.178296350693056E-3</v>
      </c>
      <c r="BD42" s="5">
        <f t="shared" si="23"/>
        <v>0.96857628672414986</v>
      </c>
      <c r="BE42" s="6">
        <f t="shared" si="24"/>
        <v>0.92103012173148302</v>
      </c>
      <c r="BF42" s="7">
        <f t="shared" si="25"/>
        <v>0.12103012173148298</v>
      </c>
      <c r="BG42" s="5">
        <v>0.85</v>
      </c>
      <c r="BH42" s="5">
        <f t="shared" si="26"/>
        <v>0.19805668209487409</v>
      </c>
      <c r="BI42" s="5">
        <f t="shared" si="27"/>
        <v>-8.7063208072113221E-2</v>
      </c>
      <c r="BJ42" s="5">
        <f t="shared" si="28"/>
        <v>6.6738798546867994E-3</v>
      </c>
      <c r="BK42" s="5">
        <f t="shared" si="29"/>
        <v>-1.2144243139056215E-5</v>
      </c>
      <c r="BL42" s="5">
        <f t="shared" si="30"/>
        <v>5.4534808992345403E-3</v>
      </c>
      <c r="BM42" s="5">
        <f t="shared" si="31"/>
        <v>0.97211392950893816</v>
      </c>
      <c r="BN42" s="8">
        <f t="shared" si="32"/>
        <v>0.92492422077216951</v>
      </c>
      <c r="BO42" s="9">
        <f t="shared" si="33"/>
        <v>7.4924220772169536E-2</v>
      </c>
      <c r="BP42" s="10">
        <f t="shared" si="34"/>
        <v>-0.92211801918627001</v>
      </c>
      <c r="BQ42" s="10">
        <f t="shared" si="35"/>
        <v>0.93125231175754153</v>
      </c>
    </row>
    <row r="43" spans="2:69">
      <c r="B43">
        <f t="shared" si="36"/>
        <v>5400</v>
      </c>
      <c r="C43">
        <f t="shared" si="46"/>
        <v>161.60000000000031</v>
      </c>
      <c r="D43">
        <f t="shared" si="0"/>
        <v>621.60000000000036</v>
      </c>
      <c r="E43">
        <f t="shared" si="37"/>
        <v>621.20000000000027</v>
      </c>
      <c r="F43">
        <f t="shared" si="47"/>
        <v>699.90890567243491</v>
      </c>
      <c r="G43">
        <f t="shared" si="38"/>
        <v>696.25854693621432</v>
      </c>
      <c r="H43">
        <f t="shared" si="1"/>
        <v>0.93090859271179549</v>
      </c>
      <c r="I43">
        <f t="shared" si="39"/>
        <v>0.93108045223466851</v>
      </c>
      <c r="K43">
        <f t="shared" si="40"/>
        <v>-7.5351493063856795E-3</v>
      </c>
      <c r="L43">
        <f t="shared" si="41"/>
        <v>4.3929188652464448E-3</v>
      </c>
      <c r="M43">
        <f t="shared" si="48"/>
        <v>322076009.16498297</v>
      </c>
      <c r="N43">
        <f t="shared" si="49"/>
        <v>500118.49449222343</v>
      </c>
      <c r="O43">
        <f t="shared" si="50"/>
        <v>707.19056448189656</v>
      </c>
      <c r="Q43" s="2">
        <f t="shared" si="42"/>
        <v>2.1226852619455401</v>
      </c>
      <c r="R43" s="2">
        <f t="shared" si="2"/>
        <v>3.4017392018358017E-2</v>
      </c>
      <c r="W43" s="2">
        <f t="shared" si="3"/>
        <v>150042.37139288339</v>
      </c>
      <c r="X43" s="2">
        <f t="shared" si="43"/>
        <v>1193.4754300000004</v>
      </c>
      <c r="Y43" s="2">
        <f t="shared" si="4"/>
        <v>125.7188607501399</v>
      </c>
      <c r="Z43" s="2">
        <f t="shared" si="44"/>
        <v>5.2248723318725858</v>
      </c>
      <c r="AA43" s="2">
        <f t="shared" si="5"/>
        <v>1.2849883933915371</v>
      </c>
      <c r="AB43" s="2">
        <f t="shared" si="6"/>
        <v>1.0701677709390975</v>
      </c>
      <c r="AC43" s="2">
        <f t="shared" si="7"/>
        <v>1.3454027297398002E-2</v>
      </c>
      <c r="AD43" s="2">
        <f t="shared" si="8"/>
        <v>2789084.967488769</v>
      </c>
      <c r="AI43">
        <f t="shared" si="9"/>
        <v>1.8089086775088777E-6</v>
      </c>
      <c r="AK43">
        <f t="shared" si="10"/>
        <v>9.5176232209658896E-6</v>
      </c>
      <c r="AL43">
        <f t="shared" si="11"/>
        <v>-3.9848600741336178</v>
      </c>
      <c r="AM43">
        <f t="shared" si="12"/>
        <v>15.087569087995876</v>
      </c>
      <c r="AN43">
        <f t="shared" si="13"/>
        <v>227.63474098504869</v>
      </c>
      <c r="AO43">
        <f t="shared" si="14"/>
        <v>4.3930025604733206E-3</v>
      </c>
      <c r="AQ43" s="3">
        <f t="shared" si="45"/>
        <v>161.60000000000031</v>
      </c>
      <c r="AR43" s="3">
        <f t="shared" si="15"/>
        <v>621.60000000000036</v>
      </c>
      <c r="AS43">
        <f t="shared" si="51"/>
        <v>699.90890567243491</v>
      </c>
      <c r="AV43" s="3">
        <f t="shared" si="16"/>
        <v>1.6576000000000011</v>
      </c>
      <c r="AW43" s="3">
        <f t="shared" si="17"/>
        <v>1.0430833169484872</v>
      </c>
      <c r="AX43" s="4">
        <v>0.8</v>
      </c>
      <c r="AY43" s="5">
        <f t="shared" si="18"/>
        <v>0.21237971734442215</v>
      </c>
      <c r="AZ43" s="5">
        <f t="shared" si="19"/>
        <v>-9.308301052148453E-2</v>
      </c>
      <c r="BA43" s="5">
        <f t="shared" si="20"/>
        <v>7.6920699467771907E-3</v>
      </c>
      <c r="BB43" s="5">
        <f t="shared" si="21"/>
        <v>-1.7200002143450742E-5</v>
      </c>
      <c r="BC43" s="5">
        <f t="shared" si="22"/>
        <v>6.2723379149150649E-3</v>
      </c>
      <c r="BD43" s="5">
        <f t="shared" si="23"/>
        <v>0.96800230639529317</v>
      </c>
      <c r="BE43" s="6">
        <f t="shared" si="24"/>
        <v>0.92069789699556459</v>
      </c>
      <c r="BF43" s="7">
        <f t="shared" si="25"/>
        <v>0.12069789699556455</v>
      </c>
      <c r="BG43" s="5">
        <v>0.85</v>
      </c>
      <c r="BH43" s="5">
        <f t="shared" si="26"/>
        <v>0.1998867927947503</v>
      </c>
      <c r="BI43" s="5">
        <f t="shared" si="27"/>
        <v>-8.7607539314338401E-2</v>
      </c>
      <c r="BJ43" s="5">
        <f t="shared" si="28"/>
        <v>6.8137367002593834E-3</v>
      </c>
      <c r="BK43" s="5">
        <f t="shared" si="29"/>
        <v>-1.2702342170775668E-5</v>
      </c>
      <c r="BL43" s="5">
        <f t="shared" si="30"/>
        <v>5.5361368814679963E-3</v>
      </c>
      <c r="BM43" s="5">
        <f t="shared" si="31"/>
        <v>0.97160361588595767</v>
      </c>
      <c r="BN43" s="8">
        <f t="shared" si="32"/>
        <v>0.92459783034016574</v>
      </c>
      <c r="BO43" s="9">
        <f t="shared" si="33"/>
        <v>7.4597830340165761E-2</v>
      </c>
      <c r="BP43" s="10">
        <f t="shared" si="34"/>
        <v>-0.92200133310797694</v>
      </c>
      <c r="BQ43" s="10">
        <f t="shared" si="35"/>
        <v>0.93090859271179549</v>
      </c>
    </row>
    <row r="44" spans="2:69">
      <c r="B44">
        <f t="shared" si="36"/>
        <v>5600</v>
      </c>
      <c r="C44">
        <f t="shared" si="46"/>
        <v>162.40000000000032</v>
      </c>
      <c r="D44">
        <f t="shared" si="0"/>
        <v>622.40000000000032</v>
      </c>
      <c r="E44">
        <f t="shared" si="37"/>
        <v>622.00000000000034</v>
      </c>
      <c r="F44">
        <f t="shared" si="47"/>
        <v>707.19056448189656</v>
      </c>
      <c r="G44">
        <f t="shared" si="38"/>
        <v>703.54973507716568</v>
      </c>
      <c r="H44">
        <f t="shared" si="1"/>
        <v>0.93057345325667418</v>
      </c>
      <c r="I44">
        <f t="shared" si="39"/>
        <v>0.93074102298423478</v>
      </c>
      <c r="K44">
        <f t="shared" si="40"/>
        <v>-7.5282022334513619E-3</v>
      </c>
      <c r="L44">
        <f t="shared" si="41"/>
        <v>4.3930025604733206E-3</v>
      </c>
      <c r="M44">
        <f t="shared" si="48"/>
        <v>322676858.63855231</v>
      </c>
      <c r="N44">
        <f t="shared" si="49"/>
        <v>510444.64687222533</v>
      </c>
      <c r="O44">
        <f t="shared" si="50"/>
        <v>714.45409010812261</v>
      </c>
      <c r="Q44" s="2">
        <f t="shared" si="42"/>
        <v>2.1427837507219385</v>
      </c>
      <c r="R44" s="2">
        <f t="shared" si="2"/>
        <v>3.4339483184646448E-2</v>
      </c>
      <c r="W44" s="2">
        <f t="shared" si="3"/>
        <v>150332.12165779431</v>
      </c>
      <c r="X44" s="2">
        <f t="shared" si="43"/>
        <v>1194.2754300000004</v>
      </c>
      <c r="Y44" s="2">
        <f t="shared" si="4"/>
        <v>125.87726238142089</v>
      </c>
      <c r="Z44" s="2">
        <f t="shared" si="44"/>
        <v>5.2228326498843174</v>
      </c>
      <c r="AA44" s="2">
        <f t="shared" si="5"/>
        <v>1.285442018665728</v>
      </c>
      <c r="AB44" s="2">
        <f t="shared" si="6"/>
        <v>1.0709113189957999</v>
      </c>
      <c r="AC44" s="2">
        <f t="shared" si="7"/>
        <v>1.3480338508846784E-2</v>
      </c>
      <c r="AD44" s="2">
        <f t="shared" si="8"/>
        <v>2783641.1721211639</v>
      </c>
      <c r="AI44">
        <f t="shared" si="9"/>
        <v>1.8124462486504699E-6</v>
      </c>
      <c r="AK44">
        <f t="shared" si="10"/>
        <v>9.534337917678186E-6</v>
      </c>
      <c r="AL44">
        <f t="shared" si="11"/>
        <v>-3.9847899757769976</v>
      </c>
      <c r="AM44">
        <f t="shared" si="12"/>
        <v>15.087425570455126</v>
      </c>
      <c r="AN44">
        <f t="shared" si="13"/>
        <v>227.6304103440232</v>
      </c>
      <c r="AO44">
        <f t="shared" si="14"/>
        <v>4.3930861368157116E-3</v>
      </c>
      <c r="AQ44" s="3">
        <f t="shared" si="45"/>
        <v>162.40000000000032</v>
      </c>
      <c r="AR44" s="3">
        <f t="shared" si="15"/>
        <v>622.40000000000032</v>
      </c>
      <c r="AS44">
        <f t="shared" si="51"/>
        <v>707.19056448189656</v>
      </c>
      <c r="AV44" s="3">
        <f t="shared" si="16"/>
        <v>1.6597333333333342</v>
      </c>
      <c r="AW44" s="3">
        <f t="shared" si="17"/>
        <v>1.0539352674841975</v>
      </c>
      <c r="AX44" s="4">
        <v>0.8</v>
      </c>
      <c r="AY44" s="5">
        <f t="shared" si="18"/>
        <v>0.21431343555746898</v>
      </c>
      <c r="AZ44" s="5">
        <f t="shared" si="19"/>
        <v>-9.365257936860448E-2</v>
      </c>
      <c r="BA44" s="5">
        <f t="shared" si="20"/>
        <v>7.8510778605130633E-3</v>
      </c>
      <c r="BB44" s="5">
        <f t="shared" si="21"/>
        <v>-1.7978402224797505E-5</v>
      </c>
      <c r="BC44" s="5">
        <f t="shared" si="22"/>
        <v>6.3661458601287513E-3</v>
      </c>
      <c r="BD44" s="5">
        <f t="shared" si="23"/>
        <v>0.96742661287164644</v>
      </c>
      <c r="BE44" s="6">
        <f t="shared" si="24"/>
        <v>0.92037525582064461</v>
      </c>
      <c r="BF44" s="7">
        <f t="shared" si="25"/>
        <v>0.12037525582064457</v>
      </c>
      <c r="BG44" s="5">
        <v>0.85</v>
      </c>
      <c r="BH44" s="5">
        <f t="shared" si="26"/>
        <v>0.20170676287761788</v>
      </c>
      <c r="BI44" s="5">
        <f t="shared" si="27"/>
        <v>-8.8143604111627749E-2</v>
      </c>
      <c r="BJ44" s="5">
        <f t="shared" si="28"/>
        <v>6.9545880010081131E-3</v>
      </c>
      <c r="BK44" s="5">
        <f t="shared" si="29"/>
        <v>-1.3277196993267124E-5</v>
      </c>
      <c r="BL44" s="5">
        <f t="shared" si="30"/>
        <v>5.6185752248845786E-3</v>
      </c>
      <c r="BM44" s="5">
        <f t="shared" si="31"/>
        <v>0.97109174439006152</v>
      </c>
      <c r="BN44" s="8">
        <f t="shared" si="32"/>
        <v>0.92428041310249365</v>
      </c>
      <c r="BO44" s="9">
        <f t="shared" si="33"/>
        <v>7.428041310249367E-2</v>
      </c>
      <c r="BP44" s="10">
        <f t="shared" si="34"/>
        <v>-0.92189685436301916</v>
      </c>
      <c r="BQ44" s="10">
        <f t="shared" si="35"/>
        <v>0.93057345325667418</v>
      </c>
    </row>
    <row r="45" spans="2:69">
      <c r="B45">
        <f t="shared" si="36"/>
        <v>5800</v>
      </c>
      <c r="C45">
        <f t="shared" si="46"/>
        <v>163.20000000000033</v>
      </c>
      <c r="D45">
        <f t="shared" si="0"/>
        <v>623.20000000000027</v>
      </c>
      <c r="E45">
        <f t="shared" si="37"/>
        <v>622.8000000000003</v>
      </c>
      <c r="F45">
        <f t="shared" si="47"/>
        <v>714.45409010812261</v>
      </c>
      <c r="G45">
        <f t="shared" si="38"/>
        <v>710.82232729500959</v>
      </c>
      <c r="H45">
        <f t="shared" si="1"/>
        <v>0.93024672829112687</v>
      </c>
      <c r="I45">
        <f t="shared" si="39"/>
        <v>0.93041009077390058</v>
      </c>
      <c r="K45">
        <f t="shared" si="40"/>
        <v>-7.5212063191168847E-3</v>
      </c>
      <c r="L45">
        <f t="shared" si="41"/>
        <v>4.3930861368157116E-3</v>
      </c>
      <c r="M45">
        <f t="shared" si="48"/>
        <v>323283569.406093</v>
      </c>
      <c r="N45">
        <f t="shared" si="49"/>
        <v>520851.4233858576</v>
      </c>
      <c r="O45">
        <f t="shared" si="50"/>
        <v>721.70036953423937</v>
      </c>
      <c r="Q45" s="2">
        <f t="shared" si="42"/>
        <v>2.1627726093493345</v>
      </c>
      <c r="R45" s="2">
        <f t="shared" si="2"/>
        <v>3.4659817457521384E-2</v>
      </c>
      <c r="W45" s="2">
        <f t="shared" si="3"/>
        <v>150622.05819741741</v>
      </c>
      <c r="X45" s="2">
        <f t="shared" si="43"/>
        <v>1195.0754300000003</v>
      </c>
      <c r="Y45" s="2">
        <f t="shared" si="4"/>
        <v>126.03560780880365</v>
      </c>
      <c r="Z45" s="2">
        <f t="shared" si="44"/>
        <v>5.2207982045635415</v>
      </c>
      <c r="AA45" s="2">
        <f t="shared" si="5"/>
        <v>1.2858944793050686</v>
      </c>
      <c r="AB45" s="2">
        <f t="shared" si="6"/>
        <v>1.0716507698221007</v>
      </c>
      <c r="AC45" s="2">
        <f t="shared" si="7"/>
        <v>1.3506615613330081E-2</v>
      </c>
      <c r="AD45" s="2">
        <f t="shared" si="8"/>
        <v>2778225.6015579766</v>
      </c>
      <c r="AI45">
        <f t="shared" si="9"/>
        <v>1.8159792340732687E-6</v>
      </c>
      <c r="AK45">
        <f t="shared" si="10"/>
        <v>9.5510276296830167E-6</v>
      </c>
      <c r="AL45">
        <f t="shared" si="11"/>
        <v>-3.9847199934888544</v>
      </c>
      <c r="AM45">
        <f t="shared" si="12"/>
        <v>15.08728225540206</v>
      </c>
      <c r="AN45">
        <f t="shared" si="13"/>
        <v>227.62608585416987</v>
      </c>
      <c r="AO45">
        <f t="shared" si="14"/>
        <v>4.3931695976209707E-3</v>
      </c>
      <c r="AQ45" s="3">
        <f t="shared" si="45"/>
        <v>163.20000000000033</v>
      </c>
      <c r="AR45" s="3">
        <f t="shared" si="15"/>
        <v>623.20000000000027</v>
      </c>
      <c r="AS45">
        <f t="shared" si="51"/>
        <v>714.45409010812261</v>
      </c>
      <c r="AV45" s="3">
        <f t="shared" si="16"/>
        <v>1.6618666666666675</v>
      </c>
      <c r="AW45" s="3">
        <f t="shared" si="17"/>
        <v>1.0647601939018221</v>
      </c>
      <c r="AX45" s="4">
        <v>0.8</v>
      </c>
      <c r="AY45" s="5">
        <f t="shared" si="18"/>
        <v>0.21623670096389488</v>
      </c>
      <c r="AZ45" s="5">
        <f t="shared" si="19"/>
        <v>-9.4213568577910106E-2</v>
      </c>
      <c r="BA45" s="5">
        <f t="shared" si="20"/>
        <v>8.0112124650014594E-3</v>
      </c>
      <c r="BB45" s="5">
        <f t="shared" si="21"/>
        <v>-1.8779860732958057E-5</v>
      </c>
      <c r="BC45" s="5">
        <f t="shared" si="22"/>
        <v>6.4597234298296308E-3</v>
      </c>
      <c r="BD45" s="5">
        <f t="shared" si="23"/>
        <v>0.96684919980355188</v>
      </c>
      <c r="BE45" s="6">
        <f t="shared" si="24"/>
        <v>0.92006200217690737</v>
      </c>
      <c r="BF45" s="7">
        <f t="shared" si="25"/>
        <v>0.12006200217690732</v>
      </c>
      <c r="BG45" s="5">
        <v>0.85</v>
      </c>
      <c r="BH45" s="5">
        <f t="shared" si="26"/>
        <v>0.20351689502484227</v>
      </c>
      <c r="BI45" s="5">
        <f t="shared" si="27"/>
        <v>-8.8671593955680111E-2</v>
      </c>
      <c r="BJ45" s="5">
        <f t="shared" si="28"/>
        <v>7.096437339240049E-3</v>
      </c>
      <c r="BK45" s="5">
        <f t="shared" si="29"/>
        <v>-1.3869080652433476E-5</v>
      </c>
      <c r="BL45" s="5">
        <f t="shared" si="30"/>
        <v>5.7007987905806426E-3</v>
      </c>
      <c r="BM45" s="5">
        <f t="shared" si="31"/>
        <v>0.97057830904147169</v>
      </c>
      <c r="BN45" s="8">
        <f t="shared" si="32"/>
        <v>0.92397178411455982</v>
      </c>
      <c r="BO45" s="9">
        <f t="shared" si="33"/>
        <v>7.3971784114559846E-2</v>
      </c>
      <c r="BP45" s="10">
        <f t="shared" si="34"/>
        <v>-0.92180436124695075</v>
      </c>
      <c r="BQ45" s="10">
        <f t="shared" si="35"/>
        <v>0.93024672829112687</v>
      </c>
    </row>
    <row r="46" spans="2:69">
      <c r="B46">
        <f t="shared" si="36"/>
        <v>6000</v>
      </c>
      <c r="C46">
        <f t="shared" si="46"/>
        <v>164.00000000000034</v>
      </c>
      <c r="D46">
        <f t="shared" si="0"/>
        <v>624.00000000000034</v>
      </c>
      <c r="E46">
        <f t="shared" si="37"/>
        <v>623.60000000000036</v>
      </c>
      <c r="F46">
        <f t="shared" si="47"/>
        <v>721.70036953423937</v>
      </c>
      <c r="G46">
        <f t="shared" si="38"/>
        <v>718.07722982118094</v>
      </c>
      <c r="H46">
        <f t="shared" si="1"/>
        <v>0.92992825885302755</v>
      </c>
      <c r="I46">
        <f t="shared" si="39"/>
        <v>0.93008749357207721</v>
      </c>
      <c r="K46">
        <f t="shared" si="40"/>
        <v>-7.5141629161120738E-3</v>
      </c>
      <c r="L46">
        <f t="shared" si="41"/>
        <v>4.3931695976209707E-3</v>
      </c>
      <c r="M46">
        <f t="shared" si="48"/>
        <v>323896066.69597155</v>
      </c>
      <c r="N46">
        <f t="shared" si="49"/>
        <v>531339.3143270819</v>
      </c>
      <c r="O46">
        <f t="shared" si="50"/>
        <v>728.93025340363113</v>
      </c>
      <c r="Q46" s="2">
        <f t="shared" si="42"/>
        <v>2.1826546375342994</v>
      </c>
      <c r="R46" s="2">
        <f t="shared" si="2"/>
        <v>3.4978439704075312E-2</v>
      </c>
      <c r="W46" s="2">
        <f t="shared" si="3"/>
        <v>150912.18089215417</v>
      </c>
      <c r="X46" s="2">
        <f t="shared" si="43"/>
        <v>1195.8754300000005</v>
      </c>
      <c r="Y46" s="2">
        <f t="shared" si="4"/>
        <v>126.19389704507442</v>
      </c>
      <c r="Z46" s="2">
        <f t="shared" si="44"/>
        <v>5.2187689757692297</v>
      </c>
      <c r="AA46" s="2">
        <f t="shared" si="5"/>
        <v>1.2863457797889235</v>
      </c>
      <c r="AB46" s="2">
        <f t="shared" si="6"/>
        <v>1.0723862191635012</v>
      </c>
      <c r="AC46" s="2">
        <f t="shared" si="7"/>
        <v>1.3532859613367551E-2</v>
      </c>
      <c r="AD46" s="2">
        <f t="shared" si="8"/>
        <v>2772837.8450250286</v>
      </c>
      <c r="AI46">
        <f t="shared" si="9"/>
        <v>1.8195077685671376E-6</v>
      </c>
      <c r="AK46">
        <f t="shared" si="10"/>
        <v>9.567693013537549E-6</v>
      </c>
      <c r="AL46">
        <f t="shared" si="11"/>
        <v>-3.984650124462537</v>
      </c>
      <c r="AM46">
        <f t="shared" si="12"/>
        <v>15.087139137300813</v>
      </c>
      <c r="AN46">
        <f t="shared" si="13"/>
        <v>227.62176734827392</v>
      </c>
      <c r="AO46">
        <f t="shared" si="14"/>
        <v>4.393252946103105E-3</v>
      </c>
      <c r="AQ46" s="3">
        <f t="shared" si="45"/>
        <v>164.00000000000034</v>
      </c>
      <c r="AR46" s="3">
        <f t="shared" si="15"/>
        <v>624.00000000000034</v>
      </c>
      <c r="AS46">
        <f t="shared" si="51"/>
        <v>721.70036953423937</v>
      </c>
      <c r="AV46" s="3">
        <f t="shared" si="16"/>
        <v>1.6640000000000008</v>
      </c>
      <c r="AW46" s="3">
        <f t="shared" si="17"/>
        <v>1.0755594180838142</v>
      </c>
      <c r="AX46" s="4">
        <v>0.8</v>
      </c>
      <c r="AY46" s="5">
        <f t="shared" si="18"/>
        <v>0.21814982187697543</v>
      </c>
      <c r="AZ46" s="5">
        <f t="shared" si="19"/>
        <v>-9.4766173733683207E-2</v>
      </c>
      <c r="BA46" s="5">
        <f t="shared" si="20"/>
        <v>8.1724777888161244E-3</v>
      </c>
      <c r="BB46" s="5">
        <f t="shared" si="21"/>
        <v>-1.9604750403504503E-5</v>
      </c>
      <c r="BC46" s="5">
        <f t="shared" si="22"/>
        <v>6.5530738152118169E-3</v>
      </c>
      <c r="BD46" s="5">
        <f t="shared" si="23"/>
        <v>0.96627006099849322</v>
      </c>
      <c r="BE46" s="6">
        <f t="shared" si="24"/>
        <v>0.91975794784068876</v>
      </c>
      <c r="BF46" s="7">
        <f t="shared" si="25"/>
        <v>0.11975794784068872</v>
      </c>
      <c r="BG46" s="5">
        <v>0.85</v>
      </c>
      <c r="BH46" s="5">
        <f t="shared" si="26"/>
        <v>0.20531747941362394</v>
      </c>
      <c r="BI46" s="5">
        <f t="shared" si="27"/>
        <v>-8.9191692925819493E-2</v>
      </c>
      <c r="BJ46" s="5">
        <f t="shared" si="28"/>
        <v>7.2392882835187831E-3</v>
      </c>
      <c r="BK46" s="5">
        <f t="shared" si="29"/>
        <v>-1.4478268416541346E-5</v>
      </c>
      <c r="BL46" s="5">
        <f t="shared" si="30"/>
        <v>5.7828103929252394E-3</v>
      </c>
      <c r="BM46" s="5">
        <f t="shared" si="31"/>
        <v>0.97006330399724305</v>
      </c>
      <c r="BN46" s="8">
        <f t="shared" si="32"/>
        <v>0.92367176578226651</v>
      </c>
      <c r="BO46" s="9">
        <f t="shared" si="33"/>
        <v>7.3671765782266529E-2</v>
      </c>
      <c r="BP46" s="10">
        <f t="shared" si="34"/>
        <v>-0.92172364116844496</v>
      </c>
      <c r="BQ46" s="10">
        <f t="shared" si="35"/>
        <v>0.92992825885302755</v>
      </c>
    </row>
    <row r="47" spans="2:69">
      <c r="B47">
        <f t="shared" si="36"/>
        <v>6200</v>
      </c>
      <c r="C47">
        <f t="shared" si="46"/>
        <v>164.80000000000035</v>
      </c>
      <c r="D47">
        <f t="shared" si="0"/>
        <v>624.80000000000041</v>
      </c>
      <c r="E47">
        <f t="shared" si="37"/>
        <v>624.40000000000032</v>
      </c>
      <c r="F47">
        <f t="shared" si="47"/>
        <v>728.93025340363113</v>
      </c>
      <c r="G47">
        <f t="shared" si="38"/>
        <v>725.31531146893531</v>
      </c>
      <c r="H47">
        <f t="shared" si="1"/>
        <v>0.92961789179096677</v>
      </c>
      <c r="I47">
        <f t="shared" si="39"/>
        <v>0.92977307532199716</v>
      </c>
      <c r="K47">
        <f t="shared" si="40"/>
        <v>-7.507073328980424E-3</v>
      </c>
      <c r="L47">
        <f t="shared" si="41"/>
        <v>4.393252946103105E-3</v>
      </c>
      <c r="M47">
        <f t="shared" si="48"/>
        <v>324514279.10290742</v>
      </c>
      <c r="N47">
        <f t="shared" si="49"/>
        <v>541908.81030941801</v>
      </c>
      <c r="O47">
        <f t="shared" si="50"/>
        <v>736.14455802472526</v>
      </c>
      <c r="Q47" s="2">
        <f t="shared" si="42"/>
        <v>2.2024325188285068</v>
      </c>
      <c r="R47" s="2">
        <f t="shared" si="2"/>
        <v>3.5295392929944019E-2</v>
      </c>
      <c r="W47" s="2">
        <f t="shared" si="3"/>
        <v>151202.4896226362</v>
      </c>
      <c r="X47" s="2">
        <f t="shared" si="43"/>
        <v>1196.6754300000005</v>
      </c>
      <c r="Y47" s="2">
        <f t="shared" si="4"/>
        <v>126.35213010317773</v>
      </c>
      <c r="Z47" s="2">
        <f t="shared" si="44"/>
        <v>5.2167449434635067</v>
      </c>
      <c r="AA47" s="2">
        <f t="shared" si="5"/>
        <v>1.2867959245737162</v>
      </c>
      <c r="AB47" s="2">
        <f t="shared" si="6"/>
        <v>1.0731177591541239</v>
      </c>
      <c r="AC47" s="2">
        <f t="shared" si="7"/>
        <v>1.3559071472067242E-2</v>
      </c>
      <c r="AD47" s="2">
        <f t="shared" si="8"/>
        <v>2767477.5049795704</v>
      </c>
      <c r="AI47">
        <f t="shared" si="9"/>
        <v>1.8230319816230065E-6</v>
      </c>
      <c r="AK47">
        <f t="shared" si="10"/>
        <v>9.5843347001764081E-6</v>
      </c>
      <c r="AL47">
        <f t="shared" si="11"/>
        <v>-3.9845803660006691</v>
      </c>
      <c r="AM47">
        <f t="shared" si="12"/>
        <v>15.086996210833027</v>
      </c>
      <c r="AN47">
        <f t="shared" si="13"/>
        <v>227.6174546656901</v>
      </c>
      <c r="AO47">
        <f t="shared" si="14"/>
        <v>4.3933361853498261E-3</v>
      </c>
      <c r="AQ47" s="3">
        <f t="shared" si="45"/>
        <v>164.80000000000035</v>
      </c>
      <c r="AR47" s="3">
        <f t="shared" si="15"/>
        <v>624.80000000000041</v>
      </c>
      <c r="AS47">
        <f t="shared" si="51"/>
        <v>728.93025340363113</v>
      </c>
      <c r="AV47" s="3">
        <f t="shared" si="16"/>
        <v>1.6661333333333344</v>
      </c>
      <c r="AW47" s="3">
        <f t="shared" si="17"/>
        <v>1.0863342077550389</v>
      </c>
      <c r="AX47" s="4">
        <v>0.8</v>
      </c>
      <c r="AY47" s="5">
        <f t="shared" si="18"/>
        <v>0.22005309406049461</v>
      </c>
      <c r="AZ47" s="5">
        <f t="shared" si="19"/>
        <v>-9.5310582967178162E-2</v>
      </c>
      <c r="BA47" s="5">
        <f t="shared" si="20"/>
        <v>8.3348778454353806E-3</v>
      </c>
      <c r="BB47" s="5">
        <f t="shared" si="21"/>
        <v>-2.0453447014619672E-5</v>
      </c>
      <c r="BC47" s="5">
        <f t="shared" si="22"/>
        <v>6.6462001565191333E-3</v>
      </c>
      <c r="BD47" s="5">
        <f t="shared" si="23"/>
        <v>0.96568919041742451</v>
      </c>
      <c r="BE47" s="6">
        <f t="shared" si="24"/>
        <v>0.91946291197377295</v>
      </c>
      <c r="BF47" s="7">
        <f t="shared" si="25"/>
        <v>0.1194629119737729</v>
      </c>
      <c r="BG47" s="5">
        <v>0.85</v>
      </c>
      <c r="BH47" s="5">
        <f t="shared" si="26"/>
        <v>0.20710879440987728</v>
      </c>
      <c r="BI47" s="5">
        <f t="shared" si="27"/>
        <v>-8.9704078086755915E-2</v>
      </c>
      <c r="BJ47" s="5">
        <f t="shared" si="28"/>
        <v>7.3831443890361847E-3</v>
      </c>
      <c r="BK47" s="5">
        <f t="shared" si="29"/>
        <v>-1.5105037800850253E-5</v>
      </c>
      <c r="BL47" s="5">
        <f t="shared" si="30"/>
        <v>5.8646128007688774E-3</v>
      </c>
      <c r="BM47" s="5">
        <f t="shared" si="31"/>
        <v>0.96954672354802829</v>
      </c>
      <c r="BN47" s="8">
        <f t="shared" si="32"/>
        <v>0.92338018746594441</v>
      </c>
      <c r="BO47" s="9">
        <f t="shared" si="33"/>
        <v>7.3380187465944435E-2</v>
      </c>
      <c r="BP47" s="10">
        <f t="shared" si="34"/>
        <v>-0.92165449015657053</v>
      </c>
      <c r="BQ47" s="10">
        <f t="shared" si="35"/>
        <v>0.92961789179096677</v>
      </c>
    </row>
    <row r="48" spans="2:69">
      <c r="B48">
        <f t="shared" si="36"/>
        <v>6400</v>
      </c>
      <c r="C48">
        <f t="shared" si="46"/>
        <v>165.60000000000036</v>
      </c>
      <c r="D48">
        <f t="shared" si="0"/>
        <v>625.60000000000036</v>
      </c>
      <c r="E48">
        <f t="shared" si="37"/>
        <v>625.20000000000039</v>
      </c>
      <c r="F48">
        <f t="shared" si="47"/>
        <v>736.14455802472526</v>
      </c>
      <c r="G48">
        <f t="shared" si="38"/>
        <v>732.53740571417825</v>
      </c>
      <c r="H48">
        <f t="shared" si="1"/>
        <v>0.9293154794584404</v>
      </c>
      <c r="I48">
        <f t="shared" si="39"/>
        <v>0.92946668562470358</v>
      </c>
      <c r="K48">
        <f t="shared" si="40"/>
        <v>-7.4999388165820626E-3</v>
      </c>
      <c r="L48">
        <f t="shared" si="41"/>
        <v>4.3933361853498261E-3</v>
      </c>
      <c r="M48">
        <f t="shared" si="48"/>
        <v>325138138.40363616</v>
      </c>
      <c r="N48">
        <f t="shared" si="49"/>
        <v>552560.4022957579</v>
      </c>
      <c r="O48">
        <f t="shared" si="50"/>
        <v>743.3440672365374</v>
      </c>
      <c r="Q48" s="2">
        <f t="shared" si="42"/>
        <v>2.2221088269841025</v>
      </c>
      <c r="R48" s="2">
        <f t="shared" si="2"/>
        <v>3.5610718381155489E-2</v>
      </c>
      <c r="W48" s="2">
        <f t="shared" si="3"/>
        <v>151492.98426972391</v>
      </c>
      <c r="X48" s="2">
        <f t="shared" si="43"/>
        <v>1197.4754300000004</v>
      </c>
      <c r="Y48" s="2">
        <f t="shared" si="4"/>
        <v>126.51030699621441</v>
      </c>
      <c r="Z48" s="2">
        <f t="shared" si="44"/>
        <v>5.2147260877109964</v>
      </c>
      <c r="AA48" s="2">
        <f t="shared" si="5"/>
        <v>1.2872449180930745</v>
      </c>
      <c r="AB48" s="2">
        <f t="shared" si="6"/>
        <v>1.0738454785016729</v>
      </c>
      <c r="AC48" s="2">
        <f t="shared" si="7"/>
        <v>1.358525211517434E-2</v>
      </c>
      <c r="AD48" s="2">
        <f t="shared" si="8"/>
        <v>2762144.1964586442</v>
      </c>
      <c r="AI48">
        <f t="shared" si="9"/>
        <v>1.8265519977083278E-6</v>
      </c>
      <c r="AK48">
        <f t="shared" si="10"/>
        <v>9.6009532962417941E-6</v>
      </c>
      <c r="AL48">
        <f t="shared" si="11"/>
        <v>-3.9845107155094794</v>
      </c>
      <c r="AM48">
        <f t="shared" si="12"/>
        <v>15.086853470886567</v>
      </c>
      <c r="AN48">
        <f t="shared" si="13"/>
        <v>227.61314765200206</v>
      </c>
      <c r="AO48">
        <f t="shared" si="14"/>
        <v>4.3934193183291018E-3</v>
      </c>
      <c r="AQ48" s="3">
        <f t="shared" si="45"/>
        <v>165.60000000000036</v>
      </c>
      <c r="AR48" s="3">
        <f t="shared" si="15"/>
        <v>625.60000000000036</v>
      </c>
      <c r="AS48">
        <f t="shared" si="51"/>
        <v>736.14455802472526</v>
      </c>
      <c r="AV48" s="3">
        <f t="shared" si="16"/>
        <v>1.6682666666666677</v>
      </c>
      <c r="AW48" s="3">
        <f t="shared" si="17"/>
        <v>1.0970857794705295</v>
      </c>
      <c r="AX48" s="4">
        <v>0.8</v>
      </c>
      <c r="AY48" s="5">
        <f t="shared" si="18"/>
        <v>0.22194680141342518</v>
      </c>
      <c r="AZ48" s="5">
        <f t="shared" si="19"/>
        <v>-9.5846977350259779E-2</v>
      </c>
      <c r="BA48" s="5">
        <f t="shared" si="20"/>
        <v>8.4984166336300199E-3</v>
      </c>
      <c r="BB48" s="5">
        <f t="shared" si="21"/>
        <v>-2.1326329419615686E-5</v>
      </c>
      <c r="BC48" s="5">
        <f t="shared" si="22"/>
        <v>6.7391055443378946E-3</v>
      </c>
      <c r="BD48" s="5">
        <f t="shared" si="23"/>
        <v>0.96510658217129297</v>
      </c>
      <c r="BE48" s="6">
        <f t="shared" si="24"/>
        <v>0.91917672073157741</v>
      </c>
      <c r="BF48" s="7">
        <f t="shared" si="25"/>
        <v>0.11917672073157737</v>
      </c>
      <c r="BG48" s="5">
        <v>0.85</v>
      </c>
      <c r="BH48" s="5">
        <f t="shared" si="26"/>
        <v>0.20889110721263551</v>
      </c>
      <c r="BI48" s="5">
        <f t="shared" si="27"/>
        <v>-9.0208919859068051E-2</v>
      </c>
      <c r="BJ48" s="5">
        <f t="shared" si="28"/>
        <v>7.5280091979560071E-3</v>
      </c>
      <c r="BK48" s="5">
        <f t="shared" si="29"/>
        <v>-1.574966859162786E-5</v>
      </c>
      <c r="BL48" s="5">
        <f t="shared" si="30"/>
        <v>5.9462087386002978E-3</v>
      </c>
      <c r="BM48" s="5">
        <f t="shared" si="31"/>
        <v>0.96902856211501465</v>
      </c>
      <c r="BN48" s="8">
        <f t="shared" si="32"/>
        <v>0.92309688511148114</v>
      </c>
      <c r="BO48" s="9">
        <f t="shared" si="33"/>
        <v>7.3096885111481158E-2</v>
      </c>
      <c r="BP48" s="10">
        <f t="shared" si="34"/>
        <v>-0.92159671240192542</v>
      </c>
      <c r="BQ48" s="10">
        <f t="shared" si="35"/>
        <v>0.9293154794584404</v>
      </c>
    </row>
    <row r="49" spans="2:69">
      <c r="B49">
        <f t="shared" si="36"/>
        <v>6600</v>
      </c>
      <c r="C49">
        <f t="shared" si="46"/>
        <v>166.40000000000038</v>
      </c>
      <c r="D49">
        <f t="shared" si="0"/>
        <v>626.40000000000032</v>
      </c>
      <c r="E49">
        <f t="shared" si="37"/>
        <v>626.00000000000034</v>
      </c>
      <c r="F49">
        <f t="shared" si="47"/>
        <v>743.3440672365374</v>
      </c>
      <c r="G49">
        <f t="shared" si="38"/>
        <v>739.74431263063138</v>
      </c>
      <c r="H49">
        <f t="shared" si="1"/>
        <v>0.9290208794285767</v>
      </c>
      <c r="I49">
        <f t="shared" si="39"/>
        <v>0.92916817944350849</v>
      </c>
      <c r="K49">
        <f t="shared" si="40"/>
        <v>-7.4927605944288302E-3</v>
      </c>
      <c r="L49">
        <f t="shared" si="41"/>
        <v>4.3934193183291018E-3</v>
      </c>
      <c r="M49">
        <f t="shared" si="48"/>
        <v>325767579.38527673</v>
      </c>
      <c r="N49">
        <f t="shared" si="49"/>
        <v>563294.58162626962</v>
      </c>
      <c r="O49">
        <f t="shared" si="50"/>
        <v>750.52953414657145</v>
      </c>
      <c r="Q49" s="2">
        <f t="shared" si="42"/>
        <v>2.2416860318712928</v>
      </c>
      <c r="R49" s="2">
        <f t="shared" si="2"/>
        <v>3.5924455638963029E-2</v>
      </c>
      <c r="W49" s="2">
        <f t="shared" si="3"/>
        <v>151783.6647145068</v>
      </c>
      <c r="X49" s="2">
        <f t="shared" si="43"/>
        <v>1198.2754300000004</v>
      </c>
      <c r="Y49" s="2">
        <f t="shared" si="4"/>
        <v>126.66842773744159</v>
      </c>
      <c r="Z49" s="2">
        <f t="shared" si="44"/>
        <v>5.2127123886781597</v>
      </c>
      <c r="AA49" s="2">
        <f t="shared" si="5"/>
        <v>1.2876927647579774</v>
      </c>
      <c r="AB49" s="2">
        <f t="shared" si="6"/>
        <v>1.0745694626601876</v>
      </c>
      <c r="AC49" s="2">
        <f t="shared" si="7"/>
        <v>1.3611402432983342E-2</v>
      </c>
      <c r="AD49" s="2">
        <f t="shared" si="8"/>
        <v>2756837.546469613</v>
      </c>
      <c r="AI49">
        <f t="shared" si="9"/>
        <v>1.83006793652417E-6</v>
      </c>
      <c r="AK49">
        <f t="shared" si="10"/>
        <v>9.6175493853246014E-6</v>
      </c>
      <c r="AL49">
        <f t="shared" si="11"/>
        <v>-3.9844411704935134</v>
      </c>
      <c r="AM49">
        <f t="shared" si="12"/>
        <v>15.086710912544957</v>
      </c>
      <c r="AN49">
        <f t="shared" si="13"/>
        <v>227.6088461587031</v>
      </c>
      <c r="AO49">
        <f t="shared" si="14"/>
        <v>4.3935023478952904E-3</v>
      </c>
      <c r="AQ49" s="3">
        <f t="shared" si="45"/>
        <v>166.40000000000038</v>
      </c>
      <c r="AR49" s="3">
        <f t="shared" si="15"/>
        <v>626.40000000000032</v>
      </c>
      <c r="AS49">
        <f t="shared" si="51"/>
        <v>743.3440672365374</v>
      </c>
      <c r="AV49" s="3">
        <f t="shared" si="16"/>
        <v>1.6704000000000008</v>
      </c>
      <c r="AW49" s="3">
        <f t="shared" si="17"/>
        <v>1.1078153013957339</v>
      </c>
      <c r="AX49" s="4">
        <v>0.8</v>
      </c>
      <c r="AY49" s="5">
        <f t="shared" si="18"/>
        <v>0.22383121660743535</v>
      </c>
      <c r="AZ49" s="5">
        <f t="shared" si="19"/>
        <v>-9.6375531262463662E-2</v>
      </c>
      <c r="BA49" s="5">
        <f t="shared" si="20"/>
        <v>8.6630981378217169E-3</v>
      </c>
      <c r="BB49" s="5">
        <f t="shared" si="21"/>
        <v>-2.222377957866316E-5</v>
      </c>
      <c r="BC49" s="5">
        <f t="shared" si="22"/>
        <v>6.8317930208348946E-3</v>
      </c>
      <c r="BD49" s="5">
        <f t="shared" si="23"/>
        <v>0.96452223051774411</v>
      </c>
      <c r="BE49" s="6">
        <f t="shared" si="24"/>
        <v>0.91889920689782789</v>
      </c>
      <c r="BF49" s="7">
        <f t="shared" si="25"/>
        <v>0.11889920689782785</v>
      </c>
      <c r="BG49" s="5">
        <v>0.85</v>
      </c>
      <c r="BH49" s="5">
        <f t="shared" si="26"/>
        <v>0.21066467445405682</v>
      </c>
      <c r="BI49" s="5">
        <f t="shared" si="27"/>
        <v>-9.0706382364671698E-2</v>
      </c>
      <c r="BJ49" s="5">
        <f t="shared" si="28"/>
        <v>7.6738862397313498E-3</v>
      </c>
      <c r="BK49" s="5">
        <f t="shared" si="29"/>
        <v>-1.6412442869582157E-5</v>
      </c>
      <c r="BL49" s="5">
        <f t="shared" si="30"/>
        <v>6.0276008876543712E-3</v>
      </c>
      <c r="BM49" s="5">
        <f t="shared" si="31"/>
        <v>0.9685088142470214</v>
      </c>
      <c r="BN49" s="8">
        <f t="shared" si="32"/>
        <v>0.9228217009063856</v>
      </c>
      <c r="BO49" s="9">
        <f t="shared" si="33"/>
        <v>7.2821700906385622E-2</v>
      </c>
      <c r="BP49" s="10">
        <f t="shared" si="34"/>
        <v>-0.92155011982884572</v>
      </c>
      <c r="BQ49" s="10">
        <f t="shared" si="35"/>
        <v>0.9290208794285767</v>
      </c>
    </row>
    <row r="50" spans="2:69">
      <c r="B50">
        <f t="shared" si="36"/>
        <v>6800</v>
      </c>
      <c r="C50">
        <f t="shared" si="46"/>
        <v>167.20000000000039</v>
      </c>
      <c r="D50">
        <f t="shared" si="0"/>
        <v>627.20000000000039</v>
      </c>
      <c r="E50">
        <f t="shared" si="37"/>
        <v>626.80000000000041</v>
      </c>
      <c r="F50">
        <f t="shared" si="47"/>
        <v>750.52953414657145</v>
      </c>
      <c r="G50">
        <f t="shared" si="38"/>
        <v>746.93680069155448</v>
      </c>
      <c r="H50">
        <f t="shared" si="1"/>
        <v>0.92873395422772476</v>
      </c>
      <c r="I50">
        <f t="shared" si="39"/>
        <v>0.92887741682815073</v>
      </c>
      <c r="K50">
        <f t="shared" si="40"/>
        <v>-7.485539836865153E-3</v>
      </c>
      <c r="L50">
        <f t="shared" si="41"/>
        <v>4.3935023478952904E-3</v>
      </c>
      <c r="M50">
        <f t="shared" si="48"/>
        <v>326402539.68535286</v>
      </c>
      <c r="N50">
        <f t="shared" si="49"/>
        <v>574111.84004451544</v>
      </c>
      <c r="O50">
        <f t="shared" si="50"/>
        <v>757.70168275154003</v>
      </c>
      <c r="Q50" s="2">
        <f t="shared" si="42"/>
        <v>2.2611665049944509</v>
      </c>
      <c r="R50" s="2">
        <f t="shared" si="2"/>
        <v>3.6236642708244407E-2</v>
      </c>
      <c r="W50" s="2">
        <f t="shared" si="3"/>
        <v>152074.53083830237</v>
      </c>
      <c r="X50" s="2">
        <f t="shared" si="43"/>
        <v>1199.0754300000003</v>
      </c>
      <c r="Y50" s="2">
        <f t="shared" si="4"/>
        <v>126.82649234027114</v>
      </c>
      <c r="Z50" s="2">
        <f t="shared" si="44"/>
        <v>5.2107038266326517</v>
      </c>
      <c r="AA50" s="2">
        <f t="shared" si="5"/>
        <v>1.2881394689568983</v>
      </c>
      <c r="AB50" s="2">
        <f t="shared" si="6"/>
        <v>1.0752897939915704</v>
      </c>
      <c r="AC50" s="2">
        <f t="shared" si="7"/>
        <v>1.3637523282124364E-2</v>
      </c>
      <c r="AD50" s="2">
        <f t="shared" si="8"/>
        <v>2751557.1934195817</v>
      </c>
      <c r="AI50">
        <f t="shared" si="9"/>
        <v>1.8335799132453882E-6</v>
      </c>
      <c r="AK50">
        <f t="shared" si="10"/>
        <v>9.6341235291244223E-6</v>
      </c>
      <c r="AL50">
        <f t="shared" si="11"/>
        <v>-3.9843717285506894</v>
      </c>
      <c r="AM50">
        <f t="shared" si="12"/>
        <v>15.086568531077537</v>
      </c>
      <c r="AN50">
        <f t="shared" si="13"/>
        <v>227.60455004289904</v>
      </c>
      <c r="AO50">
        <f t="shared" si="14"/>
        <v>4.3935852767948598E-3</v>
      </c>
      <c r="AQ50" s="3">
        <f t="shared" si="45"/>
        <v>167.20000000000039</v>
      </c>
      <c r="AR50" s="3">
        <f t="shared" si="15"/>
        <v>627.20000000000039</v>
      </c>
      <c r="AS50">
        <f t="shared" si="51"/>
        <v>750.52953414657145</v>
      </c>
      <c r="AV50" s="3">
        <f t="shared" si="16"/>
        <v>1.6725333333333343</v>
      </c>
      <c r="AW50" s="3">
        <f t="shared" si="17"/>
        <v>1.1185238958965298</v>
      </c>
      <c r="AX50" s="4">
        <v>0.8</v>
      </c>
      <c r="AY50" s="5">
        <f t="shared" si="18"/>
        <v>0.2257066016811296</v>
      </c>
      <c r="AZ50" s="5">
        <f t="shared" si="19"/>
        <v>-9.6896412733653473E-2</v>
      </c>
      <c r="BA50" s="5">
        <f t="shared" si="20"/>
        <v>8.8289263284140329E-3</v>
      </c>
      <c r="BB50" s="5">
        <f t="shared" si="21"/>
        <v>-2.3146182589770247E-5</v>
      </c>
      <c r="BC50" s="5">
        <f t="shared" si="22"/>
        <v>6.9242655809439698E-3</v>
      </c>
      <c r="BD50" s="5">
        <f t="shared" si="23"/>
        <v>0.96393612985799593</v>
      </c>
      <c r="BE50" s="6">
        <f t="shared" si="24"/>
        <v>0.91863020954355445</v>
      </c>
      <c r="BF50" s="7">
        <f t="shared" si="25"/>
        <v>0.11863020954355441</v>
      </c>
      <c r="BG50" s="5">
        <v>0.85</v>
      </c>
      <c r="BH50" s="5">
        <f t="shared" si="26"/>
        <v>0.21242974275871021</v>
      </c>
      <c r="BI50" s="5">
        <f t="shared" si="27"/>
        <v>-9.1196623749320915E-2</v>
      </c>
      <c r="BJ50" s="5">
        <f t="shared" si="28"/>
        <v>7.8207790313978981E-3</v>
      </c>
      <c r="BK50" s="5">
        <f t="shared" si="29"/>
        <v>-1.7093645032739865E-5</v>
      </c>
      <c r="BL50" s="5">
        <f t="shared" si="30"/>
        <v>6.1087918869742021E-3</v>
      </c>
      <c r="BM50" s="5">
        <f t="shared" si="31"/>
        <v>0.96798747461774715</v>
      </c>
      <c r="BN50" s="8">
        <f t="shared" si="32"/>
        <v>0.92255448295874731</v>
      </c>
      <c r="BO50" s="9">
        <f t="shared" si="33"/>
        <v>7.2554482958747335E-2</v>
      </c>
      <c r="BP50" s="10">
        <f t="shared" si="34"/>
        <v>-0.92151453169614272</v>
      </c>
      <c r="BQ50" s="10">
        <f t="shared" si="35"/>
        <v>0.92873395422772476</v>
      </c>
    </row>
    <row r="51" spans="2:69">
      <c r="B51">
        <f t="shared" si="36"/>
        <v>7000</v>
      </c>
      <c r="C51">
        <f t="shared" si="46"/>
        <v>168.0000000000004</v>
      </c>
      <c r="D51">
        <f t="shared" si="0"/>
        <v>628.00000000000045</v>
      </c>
      <c r="E51">
        <f t="shared" si="37"/>
        <v>627.60000000000036</v>
      </c>
      <c r="F51">
        <f t="shared" si="47"/>
        <v>757.70168275154003</v>
      </c>
      <c r="G51">
        <f t="shared" si="38"/>
        <v>754.1156084490558</v>
      </c>
      <c r="H51">
        <f t="shared" si="1"/>
        <v>0.92845457108639318</v>
      </c>
      <c r="I51">
        <f t="shared" si="39"/>
        <v>0.92859426265705891</v>
      </c>
      <c r="K51">
        <f t="shared" si="40"/>
        <v>-7.4782776791071717E-3</v>
      </c>
      <c r="L51">
        <f t="shared" si="41"/>
        <v>4.3935852767948598E-3</v>
      </c>
      <c r="M51">
        <f t="shared" si="48"/>
        <v>327042959.64250559</v>
      </c>
      <c r="N51">
        <f t="shared" si="49"/>
        <v>585012.66972190212</v>
      </c>
      <c r="O51">
        <f t="shared" si="50"/>
        <v>764.8612094503826</v>
      </c>
      <c r="Q51" s="2">
        <f t="shared" si="42"/>
        <v>2.2805525246394938</v>
      </c>
      <c r="R51" s="2">
        <f t="shared" si="2"/>
        <v>3.6547316099991886E-2</v>
      </c>
      <c r="W51" s="2">
        <f t="shared" si="3"/>
        <v>152365.58252265508</v>
      </c>
      <c r="X51" s="2">
        <f t="shared" si="43"/>
        <v>1199.8754300000005</v>
      </c>
      <c r="Y51" s="2">
        <f t="shared" si="4"/>
        <v>126.98450081826829</v>
      </c>
      <c r="Z51" s="2">
        <f t="shared" si="44"/>
        <v>5.2087003819426734</v>
      </c>
      <c r="AA51" s="2">
        <f t="shared" si="5"/>
        <v>1.2885850350559496</v>
      </c>
      <c r="AB51" s="2">
        <f t="shared" si="6"/>
        <v>1.076006551916781</v>
      </c>
      <c r="AC51" s="2">
        <f t="shared" si="7"/>
        <v>1.3663615487233853E-2</v>
      </c>
      <c r="AD51" s="2">
        <f t="shared" si="8"/>
        <v>2746302.786580611</v>
      </c>
      <c r="AI51">
        <f t="shared" si="9"/>
        <v>1.8370880387452539E-6</v>
      </c>
      <c r="AK51">
        <f t="shared" si="10"/>
        <v>9.6506762685341556E-6</v>
      </c>
      <c r="AL51">
        <f t="shared" si="11"/>
        <v>-3.9843023873676735</v>
      </c>
      <c r="AM51">
        <f t="shared" si="12"/>
        <v>15.086426321930237</v>
      </c>
      <c r="AN51">
        <f t="shared" si="13"/>
        <v>227.60025916702949</v>
      </c>
      <c r="AO51">
        <f t="shared" si="14"/>
        <v>4.3936681076717395E-3</v>
      </c>
      <c r="AQ51" s="3">
        <f t="shared" si="45"/>
        <v>168.0000000000004</v>
      </c>
      <c r="AR51" s="3">
        <f t="shared" si="15"/>
        <v>628.00000000000045</v>
      </c>
      <c r="AS51">
        <f t="shared" si="51"/>
        <v>757.70168275154003</v>
      </c>
      <c r="AV51" s="3">
        <f t="shared" si="16"/>
        <v>1.6746666666666679</v>
      </c>
      <c r="AW51" s="3">
        <f t="shared" si="17"/>
        <v>1.1292126419546051</v>
      </c>
      <c r="AX51" s="4">
        <v>0.8</v>
      </c>
      <c r="AY51" s="5">
        <f t="shared" si="18"/>
        <v>0.22757320859455349</v>
      </c>
      <c r="AZ51" s="5">
        <f t="shared" si="19"/>
        <v>-9.7409783764240226E-2</v>
      </c>
      <c r="BA51" s="5">
        <f t="shared" si="20"/>
        <v>8.9959051620979013E-3</v>
      </c>
      <c r="BB51" s="5">
        <f t="shared" si="21"/>
        <v>-2.4093926719047195E-5</v>
      </c>
      <c r="BC51" s="5">
        <f t="shared" si="22"/>
        <v>7.0165261735041541E-3</v>
      </c>
      <c r="BD51" s="5">
        <f t="shared" si="23"/>
        <v>0.96334827473387141</v>
      </c>
      <c r="BE51" s="6">
        <f t="shared" si="24"/>
        <v>0.91836957370844707</v>
      </c>
      <c r="BF51" s="7">
        <f t="shared" si="25"/>
        <v>0.11836957370844703</v>
      </c>
      <c r="BG51" s="5">
        <v>0.85</v>
      </c>
      <c r="BH51" s="5">
        <f t="shared" si="26"/>
        <v>0.21418654926546213</v>
      </c>
      <c r="BI51" s="5">
        <f t="shared" si="27"/>
        <v>-9.16797964839908E-2</v>
      </c>
      <c r="BJ51" s="5">
        <f t="shared" si="28"/>
        <v>7.9686910778445103E-3</v>
      </c>
      <c r="BK51" s="5">
        <f t="shared" si="29"/>
        <v>-1.7793561818796997E-5</v>
      </c>
      <c r="BL51" s="5">
        <f t="shared" si="30"/>
        <v>6.1897843344300386E-3</v>
      </c>
      <c r="BM51" s="5">
        <f t="shared" si="31"/>
        <v>0.96746453802315802</v>
      </c>
      <c r="BN51" s="8">
        <f t="shared" si="32"/>
        <v>0.92229508499724477</v>
      </c>
      <c r="BO51" s="9">
        <f t="shared" si="33"/>
        <v>7.2295084997244796E-2</v>
      </c>
      <c r="BP51" s="10">
        <f t="shared" si="34"/>
        <v>-0.92148977422404588</v>
      </c>
      <c r="BQ51" s="10">
        <f t="shared" si="35"/>
        <v>0.92845457108639318</v>
      </c>
    </row>
    <row r="52" spans="2:69">
      <c r="B52">
        <f t="shared" si="36"/>
        <v>7200</v>
      </c>
      <c r="C52">
        <f t="shared" si="46"/>
        <v>168.80000000000041</v>
      </c>
      <c r="D52">
        <f t="shared" si="0"/>
        <v>628.80000000000041</v>
      </c>
      <c r="E52">
        <f t="shared" si="37"/>
        <v>628.40000000000043</v>
      </c>
      <c r="F52">
        <f t="shared" si="47"/>
        <v>764.8612094503826</v>
      </c>
      <c r="G52">
        <f t="shared" si="38"/>
        <v>761.28144610096138</v>
      </c>
      <c r="H52">
        <f t="shared" si="1"/>
        <v>0.9281826017061644</v>
      </c>
      <c r="I52">
        <f t="shared" si="39"/>
        <v>0.92831858639627884</v>
      </c>
      <c r="K52">
        <f t="shared" si="40"/>
        <v>-7.470975219151306E-3</v>
      </c>
      <c r="L52">
        <f t="shared" si="41"/>
        <v>4.3936681076717395E-3</v>
      </c>
      <c r="M52">
        <f t="shared" si="48"/>
        <v>327688782.15704012</v>
      </c>
      <c r="N52">
        <f t="shared" si="49"/>
        <v>595997.56328056974</v>
      </c>
      <c r="O52">
        <f t="shared" si="50"/>
        <v>772.00878445816261</v>
      </c>
      <c r="Q52" s="2">
        <f t="shared" si="42"/>
        <v>2.2998462806822175</v>
      </c>
      <c r="R52" s="2">
        <f t="shared" si="2"/>
        <v>3.6856510908368868E-2</v>
      </c>
      <c r="W52" s="2">
        <f t="shared" si="3"/>
        <v>152656.81964933543</v>
      </c>
      <c r="X52" s="2">
        <f t="shared" si="43"/>
        <v>1200.6754300000005</v>
      </c>
      <c r="Y52" s="2">
        <f t="shared" si="4"/>
        <v>127.14245318515044</v>
      </c>
      <c r="Z52" s="2">
        <f t="shared" si="44"/>
        <v>5.2067020350763347</v>
      </c>
      <c r="AA52" s="2">
        <f t="shared" si="5"/>
        <v>1.2890294673990232</v>
      </c>
      <c r="AB52" s="2">
        <f t="shared" si="6"/>
        <v>1.0767198130574953</v>
      </c>
      <c r="AC52" s="2">
        <f t="shared" si="7"/>
        <v>1.3689679842518654E-2</v>
      </c>
      <c r="AD52" s="2">
        <f t="shared" si="8"/>
        <v>2741073.9855880011</v>
      </c>
      <c r="AI52">
        <f t="shared" si="9"/>
        <v>1.8405924198057464E-6</v>
      </c>
      <c r="AK52">
        <f t="shared" si="10"/>
        <v>9.6672081246558193E-6</v>
      </c>
      <c r="AL52">
        <f t="shared" si="11"/>
        <v>-3.9842331447155521</v>
      </c>
      <c r="AM52">
        <f t="shared" si="12"/>
        <v>15.086284280716944</v>
      </c>
      <c r="AN52">
        <f t="shared" si="13"/>
        <v>227.59597339860716</v>
      </c>
      <c r="AO52">
        <f t="shared" si="14"/>
        <v>4.3937508430723395E-3</v>
      </c>
      <c r="AQ52" s="3">
        <f t="shared" si="45"/>
        <v>168.80000000000041</v>
      </c>
      <c r="AR52" s="3">
        <f t="shared" si="15"/>
        <v>628.80000000000041</v>
      </c>
      <c r="AS52">
        <f t="shared" si="51"/>
        <v>764.8612094503826</v>
      </c>
      <c r="AV52" s="3">
        <f t="shared" si="16"/>
        <v>1.6768000000000012</v>
      </c>
      <c r="AW52" s="3">
        <f t="shared" si="17"/>
        <v>1.1398825774223287</v>
      </c>
      <c r="AX52" s="4">
        <v>0.8</v>
      </c>
      <c r="AY52" s="5">
        <f t="shared" si="18"/>
        <v>0.22943127974715868</v>
      </c>
      <c r="AZ52" s="5">
        <f t="shared" si="19"/>
        <v>-9.7915800624744614E-2</v>
      </c>
      <c r="BA52" s="5">
        <f t="shared" si="20"/>
        <v>9.164038582133464E-3</v>
      </c>
      <c r="BB52" s="5">
        <f t="shared" si="21"/>
        <v>-2.506740343029037E-5</v>
      </c>
      <c r="BC52" s="5">
        <f t="shared" si="22"/>
        <v>7.1085777023522879E-3</v>
      </c>
      <c r="BD52" s="5">
        <f t="shared" si="23"/>
        <v>0.96275865982497966</v>
      </c>
      <c r="BE52" s="6">
        <f t="shared" si="24"/>
        <v>0.9181171501027976</v>
      </c>
      <c r="BF52" s="7">
        <f t="shared" si="25"/>
        <v>0.11811715010279755</v>
      </c>
      <c r="BG52" s="5">
        <v>0.85</v>
      </c>
      <c r="BH52" s="5">
        <f t="shared" si="26"/>
        <v>0.21593532211497291</v>
      </c>
      <c r="BI52" s="5">
        <f t="shared" si="27"/>
        <v>-9.2156047646818479E-2</v>
      </c>
      <c r="BJ52" s="5">
        <f t="shared" si="28"/>
        <v>8.1176258720628627E-3</v>
      </c>
      <c r="BK52" s="5">
        <f t="shared" si="29"/>
        <v>-1.8512482326966847E-5</v>
      </c>
      <c r="BL52" s="5">
        <f t="shared" si="30"/>
        <v>6.2705807876975691E-3</v>
      </c>
      <c r="BM52" s="5">
        <f t="shared" si="31"/>
        <v>0.96693999937900554</v>
      </c>
      <c r="BN52" s="8">
        <f t="shared" si="32"/>
        <v>0.92204336609053361</v>
      </c>
      <c r="BO52" s="9">
        <f t="shared" si="33"/>
        <v>7.2043366090533634E-2</v>
      </c>
      <c r="BP52" s="10">
        <f t="shared" si="34"/>
        <v>-0.92147568024527959</v>
      </c>
      <c r="BQ52" s="10">
        <f t="shared" si="35"/>
        <v>0.9281826017061644</v>
      </c>
    </row>
    <row r="53" spans="2:69">
      <c r="B53">
        <f t="shared" si="36"/>
        <v>7400</v>
      </c>
      <c r="C53">
        <f t="shared" si="46"/>
        <v>169.60000000000042</v>
      </c>
      <c r="D53">
        <f t="shared" si="0"/>
        <v>629.60000000000036</v>
      </c>
      <c r="E53">
        <f t="shared" si="37"/>
        <v>629.20000000000039</v>
      </c>
      <c r="F53">
        <f t="shared" si="47"/>
        <v>772.00878445816261</v>
      </c>
      <c r="G53">
        <f t="shared" si="38"/>
        <v>768.43499695427261</v>
      </c>
      <c r="H53">
        <f t="shared" si="1"/>
        <v>0.92791792204133383</v>
      </c>
      <c r="I53">
        <f t="shared" si="39"/>
        <v>0.92805026187374917</v>
      </c>
      <c r="K53">
        <f t="shared" si="40"/>
        <v>-7.4636335195625214E-3</v>
      </c>
      <c r="L53">
        <f t="shared" si="41"/>
        <v>4.3937508430723395E-3</v>
      </c>
      <c r="M53">
        <f t="shared" si="48"/>
        <v>328339952.56051713</v>
      </c>
      <c r="N53">
        <f t="shared" si="49"/>
        <v>607067.01381481613</v>
      </c>
      <c r="O53">
        <f t="shared" si="50"/>
        <v>779.14505312863025</v>
      </c>
      <c r="Q53" s="2">
        <f t="shared" si="42"/>
        <v>2.3190498790844791</v>
      </c>
      <c r="R53" s="2">
        <f t="shared" si="2"/>
        <v>3.7164260882764089E-2</v>
      </c>
      <c r="W53" s="2">
        <f t="shared" si="3"/>
        <v>152948.24210034031</v>
      </c>
      <c r="X53" s="2">
        <f t="shared" si="43"/>
        <v>1201.4754300000004</v>
      </c>
      <c r="Y53" s="2">
        <f t="shared" si="4"/>
        <v>127.30034945478683</v>
      </c>
      <c r="Z53" s="2">
        <f t="shared" si="44"/>
        <v>5.2047087666010157</v>
      </c>
      <c r="AA53" s="2">
        <f t="shared" si="5"/>
        <v>1.2894727703079343</v>
      </c>
      <c r="AB53" s="2">
        <f t="shared" si="6"/>
        <v>1.0774296513689723</v>
      </c>
      <c r="AC53" s="2">
        <f t="shared" si="7"/>
        <v>1.3715717113221931E-2</v>
      </c>
      <c r="AD53" s="2">
        <f t="shared" si="8"/>
        <v>2735870.4599690842</v>
      </c>
      <c r="AI53">
        <f t="shared" si="9"/>
        <v>1.8440931593146453E-6</v>
      </c>
      <c r="AK53">
        <f t="shared" si="10"/>
        <v>9.68371959975247E-6</v>
      </c>
      <c r="AL53">
        <f t="shared" si="11"/>
        <v>-3.9841639984457728</v>
      </c>
      <c r="AM53">
        <f t="shared" si="12"/>
        <v>15.086142403211426</v>
      </c>
      <c r="AN53">
        <f t="shared" si="13"/>
        <v>227.59169260997382</v>
      </c>
      <c r="AO53">
        <f t="shared" si="14"/>
        <v>4.3938334854502362E-3</v>
      </c>
      <c r="AQ53" s="3">
        <f t="shared" si="45"/>
        <v>169.60000000000042</v>
      </c>
      <c r="AR53" s="3">
        <f t="shared" si="15"/>
        <v>629.60000000000036</v>
      </c>
      <c r="AS53">
        <f t="shared" si="51"/>
        <v>772.00878445816261</v>
      </c>
      <c r="AV53" s="3">
        <f t="shared" si="16"/>
        <v>1.6789333333333343</v>
      </c>
      <c r="AW53" s="3">
        <f t="shared" si="17"/>
        <v>1.1505347011298996</v>
      </c>
      <c r="AX53" s="4">
        <v>0.8</v>
      </c>
      <c r="AY53" s="5">
        <f t="shared" si="18"/>
        <v>0.23128104846212333</v>
      </c>
      <c r="AZ53" s="5">
        <f t="shared" si="19"/>
        <v>-9.8414614136317635E-2</v>
      </c>
      <c r="BA53" s="5">
        <f t="shared" si="20"/>
        <v>9.3333305186097289E-3</v>
      </c>
      <c r="BB53" s="5">
        <f t="shared" si="21"/>
        <v>-2.6067007413915903E-5</v>
      </c>
      <c r="BC53" s="5">
        <f t="shared" si="22"/>
        <v>7.2004230273726381E-3</v>
      </c>
      <c r="BD53" s="5">
        <f t="shared" si="23"/>
        <v>0.96216727994603457</v>
      </c>
      <c r="BE53" s="6">
        <f t="shared" si="24"/>
        <v>0.917872794828414</v>
      </c>
      <c r="BF53" s="7">
        <f t="shared" si="25"/>
        <v>0.11787279482841395</v>
      </c>
      <c r="BG53" s="5">
        <v>0.85</v>
      </c>
      <c r="BH53" s="5">
        <f t="shared" si="26"/>
        <v>0.21767628090552787</v>
      </c>
      <c r="BI53" s="5">
        <f t="shared" si="27"/>
        <v>-9.2625519187122488E-2</v>
      </c>
      <c r="BJ53" s="5">
        <f t="shared" si="28"/>
        <v>8.2675868953774791E-3</v>
      </c>
      <c r="BK53" s="5">
        <f t="shared" si="29"/>
        <v>-1.9250698039347841E-5</v>
      </c>
      <c r="BL53" s="5">
        <f t="shared" si="30"/>
        <v>6.3511837651979075E-3</v>
      </c>
      <c r="BM53" s="5">
        <f t="shared" si="31"/>
        <v>0.966413853718468</v>
      </c>
      <c r="BN53" s="8">
        <f t="shared" si="32"/>
        <v>0.92179919038449332</v>
      </c>
      <c r="BO53" s="9">
        <f t="shared" si="33"/>
        <v>7.1799190384493339E-2</v>
      </c>
      <c r="BP53" s="10">
        <f t="shared" si="34"/>
        <v>-0.92147208887841348</v>
      </c>
      <c r="BQ53" s="10">
        <f t="shared" si="35"/>
        <v>0.92791792204133383</v>
      </c>
    </row>
    <row r="54" spans="2:69">
      <c r="B54">
        <f t="shared" si="36"/>
        <v>7600</v>
      </c>
      <c r="C54">
        <f t="shared" si="46"/>
        <v>170.40000000000043</v>
      </c>
      <c r="D54">
        <f t="shared" si="0"/>
        <v>630.40000000000043</v>
      </c>
      <c r="E54">
        <f t="shared" si="37"/>
        <v>630.00000000000045</v>
      </c>
      <c r="F54">
        <f t="shared" si="47"/>
        <v>779.14505312863025</v>
      </c>
      <c r="G54">
        <f t="shared" si="38"/>
        <v>775.57691879339643</v>
      </c>
      <c r="H54">
        <f t="shared" si="1"/>
        <v>0.92766041209415162</v>
      </c>
      <c r="I54">
        <f t="shared" si="39"/>
        <v>0.92778916706774273</v>
      </c>
      <c r="K54">
        <f t="shared" si="40"/>
        <v>-7.4562536091514788E-3</v>
      </c>
      <c r="L54">
        <f t="shared" si="41"/>
        <v>4.3938334854502362E-3</v>
      </c>
      <c r="M54">
        <f t="shared" si="48"/>
        <v>328996418.49368382</v>
      </c>
      <c r="N54">
        <f t="shared" si="49"/>
        <v>618221.51491114986</v>
      </c>
      <c r="O54">
        <f t="shared" si="50"/>
        <v>786.27063719253169</v>
      </c>
      <c r="Q54" s="2">
        <f t="shared" si="42"/>
        <v>2.3381653461026137</v>
      </c>
      <c r="R54" s="2">
        <f t="shared" si="2"/>
        <v>3.7470598495234195E-2</v>
      </c>
      <c r="W54" s="2">
        <f t="shared" si="3"/>
        <v>153239.84975789121</v>
      </c>
      <c r="X54" s="2">
        <f t="shared" si="43"/>
        <v>1202.2754300000006</v>
      </c>
      <c r="Y54" s="2">
        <f t="shared" si="4"/>
        <v>127.45818964119655</v>
      </c>
      <c r="Z54" s="2">
        <f t="shared" si="44"/>
        <v>5.2027205571827402</v>
      </c>
      <c r="AA54" s="2">
        <f t="shared" si="5"/>
        <v>1.2899149480825587</v>
      </c>
      <c r="AB54" s="2">
        <f t="shared" si="6"/>
        <v>1.078136138264786</v>
      </c>
      <c r="AC54" s="2">
        <f t="shared" si="7"/>
        <v>1.3741728036998042E-2</v>
      </c>
      <c r="AD54" s="2">
        <f t="shared" si="8"/>
        <v>2730691.8887003199</v>
      </c>
      <c r="AI54">
        <f t="shared" si="9"/>
        <v>1.8475903564503855E-6</v>
      </c>
      <c r="AK54">
        <f t="shared" si="10"/>
        <v>9.7002111781413228E-6</v>
      </c>
      <c r="AL54">
        <f t="shared" si="11"/>
        <v>-3.9840949464863376</v>
      </c>
      <c r="AM54">
        <f t="shared" si="12"/>
        <v>15.086000685339737</v>
      </c>
      <c r="AN54">
        <f t="shared" si="13"/>
        <v>227.58741667807101</v>
      </c>
      <c r="AO54">
        <f t="shared" si="14"/>
        <v>4.3939160371705829E-3</v>
      </c>
      <c r="AQ54" s="3">
        <f t="shared" si="45"/>
        <v>170.40000000000043</v>
      </c>
      <c r="AR54" s="3">
        <f t="shared" si="15"/>
        <v>630.40000000000043</v>
      </c>
      <c r="AS54">
        <f t="shared" si="51"/>
        <v>779.14505312863025</v>
      </c>
      <c r="AV54" s="3">
        <f t="shared" si="16"/>
        <v>1.6810666666666678</v>
      </c>
      <c r="AW54" s="3">
        <f t="shared" si="17"/>
        <v>1.1611699748563789</v>
      </c>
      <c r="AX54" s="4">
        <v>0.8</v>
      </c>
      <c r="AY54" s="5">
        <f t="shared" si="18"/>
        <v>0.23312273943965792</v>
      </c>
      <c r="AZ54" s="5">
        <f t="shared" si="19"/>
        <v>-9.8906369933687704E-2</v>
      </c>
      <c r="BA54" s="5">
        <f t="shared" si="20"/>
        <v>9.5037848886836626E-3</v>
      </c>
      <c r="BB54" s="5">
        <f t="shared" si="21"/>
        <v>-2.7093136615272375E-5</v>
      </c>
      <c r="BC54" s="5">
        <f t="shared" si="22"/>
        <v>7.2920649655060007E-3</v>
      </c>
      <c r="BD54" s="5">
        <f t="shared" si="23"/>
        <v>0.96157413004430448</v>
      </c>
      <c r="BE54" s="6">
        <f t="shared" si="24"/>
        <v>0.91763636911704416</v>
      </c>
      <c r="BF54" s="7">
        <f t="shared" si="25"/>
        <v>0.11763636911704412</v>
      </c>
      <c r="BG54" s="5">
        <v>0.85</v>
      </c>
      <c r="BH54" s="5">
        <f t="shared" si="26"/>
        <v>0.21940963711967804</v>
      </c>
      <c r="BI54" s="5">
        <f t="shared" si="27"/>
        <v>-9.3088348172882543E-2</v>
      </c>
      <c r="BJ54" s="5">
        <f t="shared" si="28"/>
        <v>8.4185776176575015E-3</v>
      </c>
      <c r="BK54" s="5">
        <f t="shared" si="29"/>
        <v>-2.0008502841832553E-5</v>
      </c>
      <c r="BL54" s="5">
        <f t="shared" si="30"/>
        <v>6.4315957470014277E-3</v>
      </c>
      <c r="BM54" s="5">
        <f t="shared" si="31"/>
        <v>0.96588609618990651</v>
      </c>
      <c r="BN54" s="8">
        <f t="shared" si="32"/>
        <v>0.92156242685595957</v>
      </c>
      <c r="BO54" s="9">
        <f t="shared" si="33"/>
        <v>7.1562426855959593E-2</v>
      </c>
      <c r="BP54" s="10">
        <f t="shared" si="34"/>
        <v>-0.92147884522169166</v>
      </c>
      <c r="BQ54" s="10">
        <f t="shared" si="35"/>
        <v>0.92766041209415162</v>
      </c>
    </row>
    <row r="55" spans="2:69">
      <c r="B55">
        <f t="shared" si="36"/>
        <v>7800</v>
      </c>
      <c r="C55">
        <f t="shared" si="46"/>
        <v>171.20000000000044</v>
      </c>
      <c r="D55">
        <f t="shared" si="0"/>
        <v>631.2000000000005</v>
      </c>
      <c r="E55">
        <f t="shared" si="37"/>
        <v>630.80000000000041</v>
      </c>
      <c r="F55">
        <f t="shared" si="47"/>
        <v>786.27063719253169</v>
      </c>
      <c r="G55">
        <f t="shared" si="38"/>
        <v>782.70784516058097</v>
      </c>
      <c r="H55">
        <f t="shared" si="1"/>
        <v>0.92740995572262319</v>
      </c>
      <c r="I55">
        <f t="shared" si="39"/>
        <v>0.92753518390838741</v>
      </c>
      <c r="K55">
        <f t="shared" si="40"/>
        <v>-7.4488364845490844E-3</v>
      </c>
      <c r="L55">
        <f t="shared" si="41"/>
        <v>4.3939160371705829E-3</v>
      </c>
      <c r="M55">
        <f t="shared" si="48"/>
        <v>329658129.79209381</v>
      </c>
      <c r="N55">
        <f t="shared" si="49"/>
        <v>629461.56066705694</v>
      </c>
      <c r="O55">
        <f t="shared" si="50"/>
        <v>793.3861359181019</v>
      </c>
      <c r="Q55" s="2">
        <f t="shared" si="42"/>
        <v>2.3571946322303168</v>
      </c>
      <c r="R55" s="2">
        <f t="shared" si="2"/>
        <v>3.7775555003690973E-2</v>
      </c>
      <c r="W55" s="2">
        <f t="shared" si="3"/>
        <v>153531.64250443343</v>
      </c>
      <c r="X55" s="2">
        <f t="shared" si="43"/>
        <v>1203.0754300000006</v>
      </c>
      <c r="Y55" s="2">
        <f t="shared" si="4"/>
        <v>127.6159737585476</v>
      </c>
      <c r="Z55" s="2">
        <f t="shared" si="44"/>
        <v>5.2007373875855496</v>
      </c>
      <c r="AA55" s="2">
        <f t="shared" si="5"/>
        <v>1.2903560050009739</v>
      </c>
      <c r="AB55" s="2">
        <f t="shared" si="6"/>
        <v>1.078839342734037</v>
      </c>
      <c r="AC55" s="2">
        <f t="shared" si="7"/>
        <v>1.3767713325203561E-2</v>
      </c>
      <c r="AD55" s="2">
        <f t="shared" si="8"/>
        <v>2725537.9597905385</v>
      </c>
      <c r="AI55">
        <f t="shared" si="9"/>
        <v>1.8510841068556357E-6</v>
      </c>
      <c r="AK55">
        <f t="shared" si="10"/>
        <v>9.7166833270322362E-6</v>
      </c>
      <c r="AL55">
        <f t="shared" si="11"/>
        <v>-3.9840259868382253</v>
      </c>
      <c r="AM55">
        <f t="shared" si="12"/>
        <v>15.085859123173091</v>
      </c>
      <c r="AN55">
        <f t="shared" si="13"/>
        <v>227.58314548422476</v>
      </c>
      <c r="AO55">
        <f t="shared" si="14"/>
        <v>4.3939985005142504E-3</v>
      </c>
      <c r="AQ55" s="3">
        <f t="shared" si="45"/>
        <v>171.20000000000044</v>
      </c>
      <c r="AR55" s="3">
        <f t="shared" si="15"/>
        <v>631.2000000000005</v>
      </c>
      <c r="AS55">
        <f t="shared" si="51"/>
        <v>786.27063719253169</v>
      </c>
      <c r="AV55" s="3">
        <f t="shared" si="16"/>
        <v>1.6832000000000014</v>
      </c>
      <c r="AW55" s="3">
        <f t="shared" si="17"/>
        <v>1.171789325175159</v>
      </c>
      <c r="AX55" s="4">
        <v>0.8</v>
      </c>
      <c r="AY55" s="5">
        <f t="shared" si="18"/>
        <v>0.23495656918168717</v>
      </c>
      <c r="AZ55" s="5">
        <f t="shared" si="19"/>
        <v>-9.939120871187028E-2</v>
      </c>
      <c r="BA55" s="5">
        <f t="shared" si="20"/>
        <v>9.6754055968000605E-3</v>
      </c>
      <c r="BB55" s="5">
        <f t="shared" si="21"/>
        <v>-2.8146192262359456E-5</v>
      </c>
      <c r="BC55" s="5">
        <f t="shared" si="22"/>
        <v>7.383506291720604E-3</v>
      </c>
      <c r="BD55" s="5">
        <f t="shared" si="23"/>
        <v>0.96097920519718216</v>
      </c>
      <c r="BE55" s="6">
        <f t="shared" si="24"/>
        <v>0.91740773908497819</v>
      </c>
      <c r="BF55" s="7">
        <f t="shared" si="25"/>
        <v>0.11740773908497815</v>
      </c>
      <c r="BG55" s="5">
        <v>0.85</v>
      </c>
      <c r="BH55" s="5">
        <f t="shared" si="26"/>
        <v>0.22113559452394088</v>
      </c>
      <c r="BI55" s="5">
        <f t="shared" si="27"/>
        <v>-9.3544667022936748E-2</v>
      </c>
      <c r="BJ55" s="5">
        <f t="shared" si="28"/>
        <v>8.5706014975114736E-3</v>
      </c>
      <c r="BK55" s="5">
        <f t="shared" si="29"/>
        <v>-2.0786193044578316E-5</v>
      </c>
      <c r="BL55" s="5">
        <f t="shared" si="30"/>
        <v>6.5118191756975445E-3</v>
      </c>
      <c r="BM55" s="5">
        <f t="shared" si="31"/>
        <v>0.96535672205472878</v>
      </c>
      <c r="BN55" s="8">
        <f t="shared" si="32"/>
        <v>0.92133294908168373</v>
      </c>
      <c r="BO55" s="9">
        <f t="shared" si="33"/>
        <v>7.133294908168375E-2</v>
      </c>
      <c r="BP55" s="10">
        <f t="shared" si="34"/>
        <v>-0.92149580006588916</v>
      </c>
      <c r="BQ55" s="10">
        <f t="shared" si="35"/>
        <v>0.92740995572262319</v>
      </c>
    </row>
    <row r="56" spans="2:69">
      <c r="B56">
        <f t="shared" si="36"/>
        <v>8000</v>
      </c>
      <c r="C56">
        <f t="shared" si="46"/>
        <v>172.00000000000045</v>
      </c>
      <c r="D56">
        <f t="shared" si="0"/>
        <v>632.00000000000045</v>
      </c>
      <c r="E56">
        <f t="shared" si="37"/>
        <v>631.60000000000048</v>
      </c>
      <c r="F56">
        <f t="shared" si="47"/>
        <v>793.3861359181019</v>
      </c>
      <c r="G56">
        <f t="shared" si="38"/>
        <v>789.8283865553168</v>
      </c>
      <c r="H56">
        <f t="shared" si="1"/>
        <v>0.92716644045994701</v>
      </c>
      <c r="I56">
        <f t="shared" si="39"/>
        <v>0.92728819809128504</v>
      </c>
      <c r="K56">
        <f t="shared" si="40"/>
        <v>-7.4413831116860053E-3</v>
      </c>
      <c r="L56">
        <f t="shared" si="41"/>
        <v>4.3939985005142504E-3</v>
      </c>
      <c r="M56">
        <f t="shared" si="48"/>
        <v>330325038.37883711</v>
      </c>
      <c r="N56">
        <f t="shared" si="49"/>
        <v>640787.64570855198</v>
      </c>
      <c r="O56">
        <f t="shared" si="50"/>
        <v>800.49212719960713</v>
      </c>
      <c r="Q56" s="2">
        <f t="shared" si="42"/>
        <v>2.3761396158961334</v>
      </c>
      <c r="R56" s="2">
        <f t="shared" si="2"/>
        <v>3.8079160511155986E-2</v>
      </c>
      <c r="W56" s="2">
        <f t="shared" si="3"/>
        <v>153823.62022263711</v>
      </c>
      <c r="X56" s="2">
        <f t="shared" si="43"/>
        <v>1203.8754300000005</v>
      </c>
      <c r="Y56" s="2">
        <f t="shared" si="4"/>
        <v>127.77370182115691</v>
      </c>
      <c r="Z56" s="2">
        <f t="shared" si="44"/>
        <v>5.1987592386708847</v>
      </c>
      <c r="AA56" s="2">
        <f t="shared" si="5"/>
        <v>1.2907959453195954</v>
      </c>
      <c r="AB56" s="2">
        <f t="shared" si="6"/>
        <v>1.0795393314515938</v>
      </c>
      <c r="AC56" s="2">
        <f t="shared" si="7"/>
        <v>1.3793673664110702E-2</v>
      </c>
      <c r="AD56" s="2">
        <f t="shared" si="8"/>
        <v>2720408.3698884272</v>
      </c>
      <c r="AI56">
        <f t="shared" si="9"/>
        <v>1.8545745028004455E-6</v>
      </c>
      <c r="AK56">
        <f t="shared" si="10"/>
        <v>9.733136497315993E-6</v>
      </c>
      <c r="AL56">
        <f t="shared" si="11"/>
        <v>-3.983957117572035</v>
      </c>
      <c r="AM56">
        <f t="shared" si="12"/>
        <v>15.08571771292117</v>
      </c>
      <c r="AN56">
        <f t="shared" si="13"/>
        <v>227.57887891394353</v>
      </c>
      <c r="AO56">
        <f t="shared" si="14"/>
        <v>4.3940808776817076E-3</v>
      </c>
      <c r="AQ56" s="3">
        <f t="shared" si="45"/>
        <v>172.00000000000045</v>
      </c>
      <c r="AR56" s="3">
        <f t="shared" si="15"/>
        <v>632.00000000000045</v>
      </c>
      <c r="AS56">
        <f t="shared" si="51"/>
        <v>793.3861359181019</v>
      </c>
      <c r="AV56" s="3">
        <f t="shared" si="16"/>
        <v>1.6853333333333345</v>
      </c>
      <c r="AW56" s="3">
        <f t="shared" si="17"/>
        <v>1.1823936451834605</v>
      </c>
      <c r="AX56" s="4">
        <v>0.8</v>
      </c>
      <c r="AY56" s="5">
        <f t="shared" si="18"/>
        <v>0.23678274639008165</v>
      </c>
      <c r="AZ56" s="5">
        <f t="shared" si="19"/>
        <v>-9.9869266457855529E-2</v>
      </c>
      <c r="BA56" s="5">
        <f t="shared" si="20"/>
        <v>9.8481965348934421E-3</v>
      </c>
      <c r="BB56" s="5">
        <f t="shared" si="21"/>
        <v>-2.9226578892976291E-5</v>
      </c>
      <c r="BC56" s="5">
        <f t="shared" si="22"/>
        <v>7.4747497399467438E-3</v>
      </c>
      <c r="BD56" s="5">
        <f t="shared" si="23"/>
        <v>0.96038250060987018</v>
      </c>
      <c r="BE56" s="6">
        <f t="shared" si="24"/>
        <v>0.91718677550261385</v>
      </c>
      <c r="BF56" s="7">
        <f t="shared" si="25"/>
        <v>0.1171867755026138</v>
      </c>
      <c r="BG56" s="5">
        <v>0.85</v>
      </c>
      <c r="BH56" s="5">
        <f t="shared" si="26"/>
        <v>0.22285434954360628</v>
      </c>
      <c r="BI56" s="5">
        <f t="shared" si="27"/>
        <v>-9.3994603725040496E-2</v>
      </c>
      <c r="BJ56" s="5">
        <f t="shared" si="28"/>
        <v>8.7236619824661646E-3</v>
      </c>
      <c r="BK56" s="5">
        <f t="shared" si="29"/>
        <v>-2.1584067402056347E-5</v>
      </c>
      <c r="BL56" s="5">
        <f t="shared" si="30"/>
        <v>6.5918564572320917E-3</v>
      </c>
      <c r="BM56" s="5">
        <f t="shared" si="31"/>
        <v>0.96482572668535294</v>
      </c>
      <c r="BN56" s="8">
        <f t="shared" si="32"/>
        <v>0.92111063502138224</v>
      </c>
      <c r="BO56" s="9">
        <f t="shared" si="33"/>
        <v>7.1110635021382262E-2</v>
      </c>
      <c r="BP56" s="10">
        <f t="shared" si="34"/>
        <v>-0.92152280962463207</v>
      </c>
      <c r="BQ56" s="10">
        <f t="shared" si="35"/>
        <v>0.92716644045994701</v>
      </c>
    </row>
    <row r="57" spans="2:69">
      <c r="B57">
        <f t="shared" si="36"/>
        <v>8200</v>
      </c>
      <c r="C57">
        <f t="shared" si="46"/>
        <v>172.80000000000047</v>
      </c>
      <c r="D57">
        <f t="shared" si="0"/>
        <v>632.80000000000041</v>
      </c>
      <c r="E57">
        <f t="shared" si="37"/>
        <v>632.40000000000043</v>
      </c>
      <c r="F57">
        <f t="shared" si="47"/>
        <v>800.49212719960713</v>
      </c>
      <c r="G57">
        <f t="shared" si="38"/>
        <v>796.93913155885457</v>
      </c>
      <c r="H57">
        <f t="shared" si="1"/>
        <v>0.92692975734471328</v>
      </c>
      <c r="I57">
        <f t="shared" si="39"/>
        <v>0.9270480989023302</v>
      </c>
      <c r="K57">
        <f t="shared" si="40"/>
        <v>-7.4338944271842558E-3</v>
      </c>
      <c r="L57">
        <f t="shared" si="41"/>
        <v>4.3940808776817076E-3</v>
      </c>
      <c r="M57">
        <f t="shared" si="48"/>
        <v>330997098.16383457</v>
      </c>
      <c r="N57">
        <f t="shared" si="49"/>
        <v>652200.26520659681</v>
      </c>
      <c r="O57">
        <f t="shared" si="50"/>
        <v>807.58916857929489</v>
      </c>
      <c r="Q57" s="2">
        <f t="shared" si="42"/>
        <v>2.3950021069340055</v>
      </c>
      <c r="R57" s="2">
        <f t="shared" si="2"/>
        <v>3.8381444021378296E-2</v>
      </c>
      <c r="W57" s="2">
        <f t="shared" si="3"/>
        <v>154115.78279539407</v>
      </c>
      <c r="X57" s="2">
        <f t="shared" si="43"/>
        <v>1204.6754300000005</v>
      </c>
      <c r="Y57" s="2">
        <f t="shared" si="4"/>
        <v>127.93137384348746</v>
      </c>
      <c r="Z57" s="2">
        <f t="shared" si="44"/>
        <v>5.1967860913969641</v>
      </c>
      <c r="AA57" s="2">
        <f t="shared" si="5"/>
        <v>1.2912347732733154</v>
      </c>
      <c r="AB57" s="2">
        <f t="shared" si="6"/>
        <v>1.0802361688818705</v>
      </c>
      <c r="AC57" s="2">
        <f t="shared" si="7"/>
        <v>1.3819609716048323E-2</v>
      </c>
      <c r="AD57" s="2">
        <f t="shared" si="8"/>
        <v>2715302.8239126219</v>
      </c>
      <c r="AI57">
        <f t="shared" si="9"/>
        <v>1.8580616333356541E-6</v>
      </c>
      <c r="AK57">
        <f t="shared" si="10"/>
        <v>9.749571124305693E-6</v>
      </c>
      <c r="AL57">
        <f t="shared" si="11"/>
        <v>-3.9838883368248208</v>
      </c>
      <c r="AM57">
        <f t="shared" si="12"/>
        <v>15.085576450925828</v>
      </c>
      <c r="AN57">
        <f t="shared" si="13"/>
        <v>227.57461685672789</v>
      </c>
      <c r="AO57">
        <f t="shared" si="14"/>
        <v>4.3941631707966845E-3</v>
      </c>
      <c r="AQ57" s="3">
        <f t="shared" si="45"/>
        <v>172.80000000000047</v>
      </c>
      <c r="AR57" s="3">
        <f t="shared" si="15"/>
        <v>632.80000000000041</v>
      </c>
      <c r="AS57">
        <f t="shared" si="51"/>
        <v>800.49212719960713</v>
      </c>
      <c r="AV57" s="3">
        <f t="shared" si="16"/>
        <v>1.6874666666666678</v>
      </c>
      <c r="AW57" s="3">
        <f t="shared" si="17"/>
        <v>1.1929837961246008</v>
      </c>
      <c r="AX57" s="4">
        <v>0.8</v>
      </c>
      <c r="AY57" s="5">
        <f t="shared" si="18"/>
        <v>0.23860147234042306</v>
      </c>
      <c r="AZ57" s="5">
        <f t="shared" si="19"/>
        <v>-0.10034067466838478</v>
      </c>
      <c r="BA57" s="5">
        <f t="shared" si="20"/>
        <v>1.0022161582573141E-2</v>
      </c>
      <c r="BB57" s="5">
        <f t="shared" si="21"/>
        <v>-3.0334704381323276E-5</v>
      </c>
      <c r="BC57" s="5">
        <f t="shared" si="22"/>
        <v>7.5657980039771523E-3</v>
      </c>
      <c r="BD57" s="5">
        <f t="shared" si="23"/>
        <v>0.95978401161317239</v>
      </c>
      <c r="BE57" s="6">
        <f t="shared" si="24"/>
        <v>0.91697335357788179</v>
      </c>
      <c r="BF57" s="7">
        <f t="shared" si="25"/>
        <v>0.11697335357788174</v>
      </c>
      <c r="BG57" s="5">
        <v>0.85</v>
      </c>
      <c r="BH57" s="5">
        <f t="shared" si="26"/>
        <v>0.22456609161451579</v>
      </c>
      <c r="BI57" s="5">
        <f t="shared" si="27"/>
        <v>-9.4438282040832724E-2</v>
      </c>
      <c r="BJ57" s="5">
        <f t="shared" si="28"/>
        <v>8.877762509130532E-3</v>
      </c>
      <c r="BK57" s="5">
        <f t="shared" si="29"/>
        <v>-2.240242713269746E-5</v>
      </c>
      <c r="BL57" s="5">
        <f t="shared" si="30"/>
        <v>6.671709961714207E-3</v>
      </c>
      <c r="BM57" s="5">
        <f t="shared" si="31"/>
        <v>0.96429310556326808</v>
      </c>
      <c r="BN57" s="8">
        <f t="shared" si="32"/>
        <v>0.92089536681382933</v>
      </c>
      <c r="BO57" s="9">
        <f t="shared" si="33"/>
        <v>7.0895366813829352E-2</v>
      </c>
      <c r="BP57" s="10">
        <f t="shared" si="34"/>
        <v>-0.92155973528104906</v>
      </c>
      <c r="BQ57" s="10">
        <f t="shared" si="35"/>
        <v>0.92692975734471328</v>
      </c>
    </row>
    <row r="58" spans="2:69">
      <c r="B58">
        <f t="shared" si="36"/>
        <v>8400</v>
      </c>
      <c r="C58">
        <f t="shared" si="46"/>
        <v>173.60000000000048</v>
      </c>
      <c r="D58">
        <f t="shared" si="0"/>
        <v>633.60000000000048</v>
      </c>
      <c r="E58">
        <f t="shared" si="37"/>
        <v>633.2000000000005</v>
      </c>
      <c r="F58">
        <f t="shared" si="47"/>
        <v>807.58916857929489</v>
      </c>
      <c r="G58">
        <f t="shared" si="38"/>
        <v>804.04064788945107</v>
      </c>
      <c r="H58">
        <f t="shared" si="1"/>
        <v>0.92669980076109959</v>
      </c>
      <c r="I58">
        <f t="shared" si="39"/>
        <v>0.92681477905290643</v>
      </c>
      <c r="K58">
        <f t="shared" si="40"/>
        <v>-7.4263713396671704E-3</v>
      </c>
      <c r="L58">
        <f t="shared" si="41"/>
        <v>4.3941631707966845E-3</v>
      </c>
      <c r="M58">
        <f t="shared" si="48"/>
        <v>331674264.94921869</v>
      </c>
      <c r="N58">
        <f t="shared" si="49"/>
        <v>663699.91489244229</v>
      </c>
      <c r="O58">
        <f t="shared" si="50"/>
        <v>814.67779820763633</v>
      </c>
      <c r="Q58" s="2">
        <f t="shared" si="42"/>
        <v>2.4137838498436408</v>
      </c>
      <c r="R58" s="2">
        <f t="shared" si="2"/>
        <v>3.8682433491083988E-2</v>
      </c>
      <c r="W58" s="2">
        <f t="shared" si="3"/>
        <v>154408.1301058188</v>
      </c>
      <c r="X58" s="2">
        <f t="shared" si="43"/>
        <v>1205.4754300000004</v>
      </c>
      <c r="Y58" s="2">
        <f t="shared" si="4"/>
        <v>128.08898984014857</v>
      </c>
      <c r="Z58" s="2">
        <f t="shared" si="44"/>
        <v>5.19481792681818</v>
      </c>
      <c r="AA58" s="2">
        <f t="shared" si="5"/>
        <v>1.2916724930756369</v>
      </c>
      <c r="AB58" s="2">
        <f t="shared" si="6"/>
        <v>1.0809299173766085</v>
      </c>
      <c r="AC58" s="2">
        <f t="shared" si="7"/>
        <v>1.3845522120476505E-2</v>
      </c>
      <c r="AD58" s="2">
        <f t="shared" si="8"/>
        <v>2710221.0347026545</v>
      </c>
      <c r="AI58">
        <f t="shared" si="9"/>
        <v>1.8615455844373676E-6</v>
      </c>
      <c r="AK58">
        <f t="shared" si="10"/>
        <v>9.7659876284349249E-6</v>
      </c>
      <c r="AL58">
        <f t="shared" si="11"/>
        <v>-3.983819642797116</v>
      </c>
      <c r="AM58">
        <f t="shared" si="12"/>
        <v>15.085435333655152</v>
      </c>
      <c r="AN58">
        <f t="shared" si="13"/>
        <v>227.57035920589132</v>
      </c>
      <c r="AO58">
        <f t="shared" si="14"/>
        <v>4.3942453819096139E-3</v>
      </c>
      <c r="AQ58" s="3">
        <f t="shared" si="45"/>
        <v>173.60000000000048</v>
      </c>
      <c r="AR58" s="3">
        <f t="shared" si="15"/>
        <v>633.60000000000048</v>
      </c>
      <c r="AS58">
        <f t="shared" si="51"/>
        <v>807.58916857929489</v>
      </c>
      <c r="AV58" s="3">
        <f t="shared" si="16"/>
        <v>1.6896000000000013</v>
      </c>
      <c r="AW58" s="3">
        <f t="shared" si="17"/>
        <v>1.2035606089110207</v>
      </c>
      <c r="AX58" s="4">
        <v>0.8</v>
      </c>
      <c r="AY58" s="5">
        <f t="shared" si="18"/>
        <v>0.24041294123311385</v>
      </c>
      <c r="AZ58" s="5">
        <f t="shared" si="19"/>
        <v>-0.10080556055483109</v>
      </c>
      <c r="BA58" s="5">
        <f t="shared" si="20"/>
        <v>1.0197304607292719E-2</v>
      </c>
      <c r="BB58" s="5">
        <f t="shared" si="21"/>
        <v>-3.1470979964079063E-5</v>
      </c>
      <c r="BC58" s="5">
        <f t="shared" si="22"/>
        <v>7.656653738335021E-3</v>
      </c>
      <c r="BD58" s="5">
        <f t="shared" si="23"/>
        <v>0.95918373366138698</v>
      </c>
      <c r="BE58" s="6">
        <f t="shared" si="24"/>
        <v>0.91676735275251431</v>
      </c>
      <c r="BF58" s="7">
        <f t="shared" si="25"/>
        <v>0.11676735275251426</v>
      </c>
      <c r="BG58" s="5">
        <v>0.85</v>
      </c>
      <c r="BH58" s="5">
        <f t="shared" si="26"/>
        <v>0.22627100351351895</v>
      </c>
      <c r="BI58" s="5">
        <f t="shared" si="27"/>
        <v>-9.487582169866457E-2</v>
      </c>
      <c r="BJ58" s="5">
        <f t="shared" si="28"/>
        <v>9.0329065033458011E-3</v>
      </c>
      <c r="BK58" s="5">
        <f t="shared" si="29"/>
        <v>-2.3241575938150239E-5</v>
      </c>
      <c r="BL58" s="5">
        <f t="shared" si="30"/>
        <v>6.7513820241943117E-3</v>
      </c>
      <c r="BM58" s="5">
        <f t="shared" si="31"/>
        <v>0.963758854277182</v>
      </c>
      <c r="BN58" s="8">
        <f t="shared" si="32"/>
        <v>0.92068703058504442</v>
      </c>
      <c r="BO58" s="9">
        <f t="shared" si="33"/>
        <v>7.0687030585044441E-2</v>
      </c>
      <c r="BP58" s="10">
        <f t="shared" si="34"/>
        <v>-0.92160644334939767</v>
      </c>
      <c r="BQ58" s="10">
        <f t="shared" si="35"/>
        <v>0.92669980076109959</v>
      </c>
    </row>
    <row r="59" spans="2:69">
      <c r="B59">
        <f t="shared" si="36"/>
        <v>8600</v>
      </c>
      <c r="C59">
        <f t="shared" si="46"/>
        <v>174.40000000000049</v>
      </c>
      <c r="D59">
        <f t="shared" si="0"/>
        <v>634.40000000000055</v>
      </c>
      <c r="E59">
        <f t="shared" si="37"/>
        <v>634.00000000000045</v>
      </c>
      <c r="F59">
        <f t="shared" si="47"/>
        <v>814.67779820763633</v>
      </c>
      <c r="G59">
        <f t="shared" si="38"/>
        <v>811.13348339346567</v>
      </c>
      <c r="H59">
        <f t="shared" si="1"/>
        <v>0.9264764682883343</v>
      </c>
      <c r="I59">
        <f t="shared" si="39"/>
        <v>0.92658813452471689</v>
      </c>
      <c r="K59">
        <f t="shared" si="40"/>
        <v>-7.4188147309936468E-3</v>
      </c>
      <c r="L59">
        <f t="shared" si="41"/>
        <v>4.3942453819096139E-3</v>
      </c>
      <c r="M59">
        <f t="shared" si="48"/>
        <v>332356496.34034932</v>
      </c>
      <c r="N59">
        <f t="shared" si="49"/>
        <v>675287.09107196354</v>
      </c>
      <c r="O59">
        <f t="shared" si="50"/>
        <v>821.75853574633686</v>
      </c>
      <c r="Q59" s="2">
        <f t="shared" si="42"/>
        <v>2.4324865268560889</v>
      </c>
      <c r="R59" s="2">
        <f t="shared" si="2"/>
        <v>3.8982155879103988E-2</v>
      </c>
      <c r="W59" s="2">
        <f t="shared" si="3"/>
        <v>154700.66203724674</v>
      </c>
      <c r="X59" s="2">
        <f t="shared" si="43"/>
        <v>1206.2754300000006</v>
      </c>
      <c r="Y59" s="2">
        <f t="shared" si="4"/>
        <v>128.24654982589396</v>
      </c>
      <c r="Z59" s="2">
        <f t="shared" si="44"/>
        <v>5.1928547260844873</v>
      </c>
      <c r="AA59" s="2">
        <f t="shared" si="5"/>
        <v>1.2921091089188101</v>
      </c>
      <c r="AB59" s="2">
        <f t="shared" si="6"/>
        <v>1.0816206372670802</v>
      </c>
      <c r="AC59" s="2">
        <f t="shared" si="7"/>
        <v>1.3871411494998778E-2</v>
      </c>
      <c r="AD59" s="2">
        <f t="shared" si="8"/>
        <v>2705162.7226894279</v>
      </c>
      <c r="AI59">
        <f t="shared" si="9"/>
        <v>1.8650264391430569E-6</v>
      </c>
      <c r="AK59">
        <f t="shared" si="10"/>
        <v>9.7823864159154809E-6</v>
      </c>
      <c r="AL59">
        <f t="shared" si="11"/>
        <v>-3.9837510337501292</v>
      </c>
      <c r="AM59">
        <f t="shared" si="12"/>
        <v>15.085294357697885</v>
      </c>
      <c r="AN59">
        <f t="shared" si="13"/>
        <v>227.56610585839164</v>
      </c>
      <c r="AO59">
        <f t="shared" si="14"/>
        <v>4.3943275130008752E-3</v>
      </c>
      <c r="AQ59" s="3">
        <f t="shared" si="45"/>
        <v>174.40000000000049</v>
      </c>
      <c r="AR59" s="3">
        <f t="shared" si="15"/>
        <v>634.40000000000055</v>
      </c>
      <c r="AS59">
        <f t="shared" si="51"/>
        <v>814.67779820763633</v>
      </c>
      <c r="AV59" s="3">
        <f t="shared" si="16"/>
        <v>1.6917333333333349</v>
      </c>
      <c r="AW59" s="3">
        <f t="shared" si="17"/>
        <v>1.2141248855553448</v>
      </c>
      <c r="AX59" s="4">
        <v>0.8</v>
      </c>
      <c r="AY59" s="5">
        <f t="shared" si="18"/>
        <v>0.2422173405234839</v>
      </c>
      <c r="AZ59" s="5">
        <f t="shared" si="19"/>
        <v>-0.10126404723610943</v>
      </c>
      <c r="BA59" s="5">
        <f t="shared" si="20"/>
        <v>1.0373629464504708E-2</v>
      </c>
      <c r="BB59" s="5">
        <f t="shared" si="21"/>
        <v>-3.2635820265972159E-5</v>
      </c>
      <c r="BC59" s="5">
        <f t="shared" si="22"/>
        <v>7.7473195591112199E-3</v>
      </c>
      <c r="BD59" s="5">
        <f t="shared" si="23"/>
        <v>0.95858166233029363</v>
      </c>
      <c r="BE59" s="6">
        <f t="shared" si="24"/>
        <v>0.91656865651023811</v>
      </c>
      <c r="BF59" s="7">
        <f t="shared" si="25"/>
        <v>0.11656865651023807</v>
      </c>
      <c r="BG59" s="5">
        <v>0.85</v>
      </c>
      <c r="BH59" s="5">
        <f t="shared" si="26"/>
        <v>0.22796926166916134</v>
      </c>
      <c r="BI59" s="5">
        <f t="shared" si="27"/>
        <v>-9.5307338575161826E-2</v>
      </c>
      <c r="BJ59" s="5">
        <f t="shared" si="28"/>
        <v>9.1890973803225116E-3</v>
      </c>
      <c r="BK59" s="5">
        <f t="shared" si="29"/>
        <v>-2.4101820022165641E-5</v>
      </c>
      <c r="BL59" s="5">
        <f t="shared" si="30"/>
        <v>6.8308749454145893E-3</v>
      </c>
      <c r="BM59" s="5">
        <f t="shared" si="31"/>
        <v>0.96322296852125455</v>
      </c>
      <c r="BN59" s="8">
        <f t="shared" si="32"/>
        <v>0.92048551626770259</v>
      </c>
      <c r="BO59" s="9">
        <f t="shared" si="33"/>
        <v>7.0485516267702608E-2</v>
      </c>
      <c r="BP59" s="10">
        <f t="shared" si="34"/>
        <v>-0.92166280485071039</v>
      </c>
      <c r="BQ59" s="10">
        <f t="shared" si="35"/>
        <v>0.9264764682883343</v>
      </c>
    </row>
    <row r="60" spans="2:69">
      <c r="B60">
        <f t="shared" si="36"/>
        <v>8800</v>
      </c>
      <c r="C60">
        <f t="shared" si="46"/>
        <v>175.2000000000005</v>
      </c>
      <c r="D60">
        <f t="shared" si="0"/>
        <v>635.2000000000005</v>
      </c>
      <c r="E60">
        <f t="shared" si="37"/>
        <v>634.80000000000052</v>
      </c>
      <c r="F60">
        <f t="shared" si="47"/>
        <v>821.75853574633686</v>
      </c>
      <c r="G60">
        <f t="shared" si="38"/>
        <v>818.21816697698659</v>
      </c>
      <c r="H60">
        <f t="shared" si="1"/>
        <v>0.92625966055877607</v>
      </c>
      <c r="I60">
        <f t="shared" si="39"/>
        <v>0.92636806442355524</v>
      </c>
      <c r="K60">
        <f t="shared" si="40"/>
        <v>-7.4112254574220113E-3</v>
      </c>
      <c r="L60">
        <f t="shared" si="41"/>
        <v>4.3943275130008752E-3</v>
      </c>
      <c r="M60">
        <f t="shared" si="48"/>
        <v>333043751.66205835</v>
      </c>
      <c r="N60">
        <f t="shared" si="49"/>
        <v>686962.29063904181</v>
      </c>
      <c r="O60">
        <f t="shared" si="50"/>
        <v>828.83188321820842</v>
      </c>
      <c r="Q60" s="2">
        <f t="shared" si="42"/>
        <v>2.4511117608185424</v>
      </c>
      <c r="R60" s="2">
        <f t="shared" si="2"/>
        <v>3.9280637192604849E-2</v>
      </c>
      <c r="W60" s="2">
        <f t="shared" si="3"/>
        <v>154993.37847323462</v>
      </c>
      <c r="X60" s="2">
        <f t="shared" si="43"/>
        <v>1207.0754300000006</v>
      </c>
      <c r="Y60" s="2">
        <f t="shared" si="4"/>
        <v>128.40405381562158</v>
      </c>
      <c r="Z60" s="2">
        <f t="shared" si="44"/>
        <v>5.1908964704408049</v>
      </c>
      <c r="AA60" s="2">
        <f t="shared" si="5"/>
        <v>1.2925446249739652</v>
      </c>
      <c r="AB60" s="2">
        <f t="shared" si="6"/>
        <v>1.0823083869511079</v>
      </c>
      <c r="AC60" s="2">
        <f t="shared" si="7"/>
        <v>1.3897278436316864E-2</v>
      </c>
      <c r="AD60" s="2">
        <f t="shared" si="8"/>
        <v>2700127.6155837933</v>
      </c>
      <c r="AI60">
        <f t="shared" si="9"/>
        <v>1.8685042776799201E-6</v>
      </c>
      <c r="AK60">
        <f t="shared" si="10"/>
        <v>9.7987678793579046E-6</v>
      </c>
      <c r="AL60">
        <f t="shared" si="11"/>
        <v>-3.9836825080030955</v>
      </c>
      <c r="AM60">
        <f t="shared" si="12"/>
        <v>15.085153519758149</v>
      </c>
      <c r="AN60">
        <f t="shared" si="13"/>
        <v>227.56185671467168</v>
      </c>
      <c r="AO60">
        <f t="shared" si="14"/>
        <v>4.3944095659838528E-3</v>
      </c>
      <c r="AQ60" s="3">
        <f t="shared" si="45"/>
        <v>175.2000000000005</v>
      </c>
      <c r="AR60" s="3">
        <f t="shared" si="15"/>
        <v>635.2000000000005</v>
      </c>
      <c r="AS60">
        <f t="shared" si="51"/>
        <v>821.75853574633686</v>
      </c>
      <c r="AV60" s="3">
        <f t="shared" si="16"/>
        <v>1.693866666666668</v>
      </c>
      <c r="AW60" s="3">
        <f t="shared" si="17"/>
        <v>1.2246774005161503</v>
      </c>
      <c r="AX60" s="4">
        <v>0.8</v>
      </c>
      <c r="AY60" s="5">
        <f t="shared" si="18"/>
        <v>0.24401485123240735</v>
      </c>
      <c r="AZ60" s="5">
        <f t="shared" si="19"/>
        <v>-0.1017162539204675</v>
      </c>
      <c r="BA60" s="5">
        <f t="shared" si="20"/>
        <v>1.0551139997801526E-2</v>
      </c>
      <c r="BB60" s="5">
        <f t="shared" si="21"/>
        <v>-3.3829643324865782E-5</v>
      </c>
      <c r="BC60" s="5">
        <f t="shared" si="22"/>
        <v>7.8377980447723265E-3</v>
      </c>
      <c r="BD60" s="5">
        <f t="shared" si="23"/>
        <v>0.95797779331523059</v>
      </c>
      <c r="BE60" s="6">
        <f t="shared" si="24"/>
        <v>0.91637715219604043</v>
      </c>
      <c r="BF60" s="7">
        <f t="shared" si="25"/>
        <v>0.11637715219604039</v>
      </c>
      <c r="BG60" s="5">
        <v>0.85</v>
      </c>
      <c r="BH60" s="5">
        <f t="shared" si="26"/>
        <v>0.22966103645403049</v>
      </c>
      <c r="BI60" s="5">
        <f t="shared" si="27"/>
        <v>-9.5732944866322375E-2</v>
      </c>
      <c r="BJ60" s="5">
        <f t="shared" si="28"/>
        <v>9.3463385447653709E-3</v>
      </c>
      <c r="BK60" s="5">
        <f t="shared" si="29"/>
        <v>-2.4983468109122612E-5</v>
      </c>
      <c r="BL60" s="5">
        <f t="shared" si="30"/>
        <v>6.9101909925334765E-3</v>
      </c>
      <c r="BM60" s="5">
        <f t="shared" si="31"/>
        <v>0.96268544409340806</v>
      </c>
      <c r="BN60" s="8">
        <f t="shared" si="32"/>
        <v>0.92029071743096957</v>
      </c>
      <c r="BO60" s="9">
        <f t="shared" si="33"/>
        <v>7.0290717430969596E-2</v>
      </c>
      <c r="BP60" s="10">
        <f t="shared" si="34"/>
        <v>-0.9217286953014171</v>
      </c>
      <c r="BQ60" s="10">
        <f t="shared" si="35"/>
        <v>0.92625966055877607</v>
      </c>
    </row>
    <row r="61" spans="2:69">
      <c r="B61">
        <f t="shared" si="36"/>
        <v>9000</v>
      </c>
      <c r="C61">
        <f t="shared" si="46"/>
        <v>176.00000000000051</v>
      </c>
      <c r="D61">
        <f t="shared" si="0"/>
        <v>636.00000000000045</v>
      </c>
      <c r="E61">
        <f t="shared" si="37"/>
        <v>635.60000000000048</v>
      </c>
      <c r="F61">
        <f t="shared" si="47"/>
        <v>828.83188321820842</v>
      </c>
      <c r="G61">
        <f t="shared" si="38"/>
        <v>825.29520948227264</v>
      </c>
      <c r="H61">
        <f t="shared" si="1"/>
        <v>0.92604928112401264</v>
      </c>
      <c r="I61">
        <f t="shared" si="39"/>
        <v>0.92615447084139435</v>
      </c>
      <c r="K61">
        <f t="shared" si="40"/>
        <v>-7.403604350708414E-3</v>
      </c>
      <c r="L61">
        <f t="shared" si="41"/>
        <v>4.3944095659838528E-3</v>
      </c>
      <c r="M61">
        <f t="shared" si="48"/>
        <v>333735991.87974936</v>
      </c>
      <c r="N61">
        <f t="shared" si="49"/>
        <v>698726.01108804683</v>
      </c>
      <c r="O61">
        <f t="shared" si="50"/>
        <v>835.89832580765881</v>
      </c>
      <c r="Q61" s="2">
        <f t="shared" si="42"/>
        <v>2.4696611179112247</v>
      </c>
      <c r="R61" s="2">
        <f t="shared" si="2"/>
        <v>3.9577902530628602E-2</v>
      </c>
      <c r="W61" s="2">
        <f t="shared" si="3"/>
        <v>155286.27929755958</v>
      </c>
      <c r="X61" s="2">
        <f t="shared" si="43"/>
        <v>1207.8754300000005</v>
      </c>
      <c r="Y61" s="2">
        <f t="shared" si="4"/>
        <v>128.56150182437233</v>
      </c>
      <c r="Z61" s="2">
        <f t="shared" si="44"/>
        <v>5.1889431412264138</v>
      </c>
      <c r="AA61" s="2">
        <f t="shared" si="5"/>
        <v>1.2929790453912458</v>
      </c>
      <c r="AB61" s="2">
        <f t="shared" si="6"/>
        <v>1.0829932229752544</v>
      </c>
      <c r="AC61" s="2">
        <f t="shared" si="7"/>
        <v>1.3923123521131604E-2</v>
      </c>
      <c r="AD61" s="2">
        <f t="shared" si="8"/>
        <v>2695115.4480820494</v>
      </c>
      <c r="AI61">
        <f t="shared" si="9"/>
        <v>1.8719791775860155E-6</v>
      </c>
      <c r="AK61">
        <f t="shared" si="10"/>
        <v>9.8151323983569535E-6</v>
      </c>
      <c r="AL61">
        <f t="shared" si="11"/>
        <v>-3.9836140639307822</v>
      </c>
      <c r="AM61">
        <f t="shared" si="12"/>
        <v>15.085012816650483</v>
      </c>
      <c r="AN61">
        <f t="shared" si="13"/>
        <v>227.55761167850935</v>
      </c>
      <c r="AO61">
        <f t="shared" si="14"/>
        <v>4.3944915427078218E-3</v>
      </c>
      <c r="AQ61" s="3">
        <f t="shared" si="45"/>
        <v>176.00000000000051</v>
      </c>
      <c r="AR61" s="3">
        <f t="shared" si="15"/>
        <v>636.00000000000045</v>
      </c>
      <c r="AS61">
        <f t="shared" si="51"/>
        <v>828.83188321820842</v>
      </c>
      <c r="AV61" s="3">
        <f t="shared" si="16"/>
        <v>1.6960000000000013</v>
      </c>
      <c r="AW61" s="3">
        <f t="shared" si="17"/>
        <v>1.2352189019645432</v>
      </c>
      <c r="AX61" s="4">
        <v>0.8</v>
      </c>
      <c r="AY61" s="5">
        <f t="shared" si="18"/>
        <v>0.24580564823881662</v>
      </c>
      <c r="AZ61" s="5">
        <f t="shared" si="19"/>
        <v>-0.1021622960769351</v>
      </c>
      <c r="BA61" s="5">
        <f t="shared" si="20"/>
        <v>1.072984003904357E-2</v>
      </c>
      <c r="BB61" s="5">
        <f t="shared" si="21"/>
        <v>-3.5052870616373464E-5</v>
      </c>
      <c r="BC61" s="5">
        <f t="shared" si="22"/>
        <v>7.9280917369409353E-3</v>
      </c>
      <c r="BD61" s="5">
        <f t="shared" si="23"/>
        <v>0.95737212242925473</v>
      </c>
      <c r="BE61" s="6">
        <f t="shared" si="24"/>
        <v>0.91619273084573383</v>
      </c>
      <c r="BF61" s="7">
        <f t="shared" si="25"/>
        <v>0.11619273084573378</v>
      </c>
      <c r="BG61" s="5">
        <v>0.85</v>
      </c>
      <c r="BH61" s="5">
        <f t="shared" si="26"/>
        <v>0.23134649246006272</v>
      </c>
      <c r="BI61" s="5">
        <f t="shared" si="27"/>
        <v>-9.6152749248880107E-2</v>
      </c>
      <c r="BJ61" s="5">
        <f t="shared" si="28"/>
        <v>9.5046333909866929E-3</v>
      </c>
      <c r="BK61" s="5">
        <f t="shared" si="29"/>
        <v>-2.5886831462206712E-5</v>
      </c>
      <c r="BL61" s="5">
        <f t="shared" si="30"/>
        <v>6.9893323998253456E-3</v>
      </c>
      <c r="BM61" s="5">
        <f t="shared" si="31"/>
        <v>0.96214627689371435</v>
      </c>
      <c r="BN61" s="8">
        <f t="shared" si="32"/>
        <v>0.92010253112003348</v>
      </c>
      <c r="BO61" s="9">
        <f t="shared" si="33"/>
        <v>7.0102531120033507E-2</v>
      </c>
      <c r="BP61" s="10">
        <f t="shared" si="34"/>
        <v>-0.92180399451400674</v>
      </c>
      <c r="BQ61" s="10">
        <f t="shared" si="35"/>
        <v>0.92604928112401264</v>
      </c>
    </row>
    <row r="62" spans="2:69">
      <c r="B62">
        <f t="shared" si="36"/>
        <v>9200</v>
      </c>
      <c r="C62">
        <f t="shared" si="46"/>
        <v>176.80000000000052</v>
      </c>
      <c r="D62">
        <f t="shared" si="0"/>
        <v>636.80000000000052</v>
      </c>
      <c r="E62">
        <f t="shared" si="37"/>
        <v>636.40000000000055</v>
      </c>
      <c r="F62">
        <f t="shared" si="47"/>
        <v>835.89832580765881</v>
      </c>
      <c r="G62">
        <f t="shared" si="38"/>
        <v>832.36510451293361</v>
      </c>
      <c r="H62">
        <f t="shared" si="1"/>
        <v>0.92584523632841831</v>
      </c>
      <c r="I62">
        <f t="shared" si="39"/>
        <v>0.92594725872621542</v>
      </c>
      <c r="K62">
        <f t="shared" si="40"/>
        <v>-7.3959522191442287E-3</v>
      </c>
      <c r="L62">
        <f t="shared" si="41"/>
        <v>4.3944915427078218E-3</v>
      </c>
      <c r="M62">
        <f t="shared" si="48"/>
        <v>334433179.52501345</v>
      </c>
      <c r="N62">
        <f t="shared" si="49"/>
        <v>710578.75052547141</v>
      </c>
      <c r="O62">
        <f t="shared" si="50"/>
        <v>842.95833261524342</v>
      </c>
      <c r="Q62" s="2">
        <f t="shared" si="42"/>
        <v>2.4881361102081923</v>
      </c>
      <c r="R62" s="2">
        <f t="shared" si="2"/>
        <v>3.9873976125131286E-2</v>
      </c>
      <c r="W62" s="2">
        <f t="shared" si="3"/>
        <v>155579.36439421689</v>
      </c>
      <c r="X62" s="2">
        <f t="shared" si="43"/>
        <v>1208.6754300000007</v>
      </c>
      <c r="Y62" s="2">
        <f t="shared" si="4"/>
        <v>128.71889386732781</v>
      </c>
      <c r="Z62" s="2">
        <f t="shared" si="44"/>
        <v>5.1869947198743702</v>
      </c>
      <c r="AA62" s="2">
        <f t="shared" si="5"/>
        <v>1.2934123742999402</v>
      </c>
      <c r="AB62" s="2">
        <f t="shared" si="6"/>
        <v>1.0836752001125123</v>
      </c>
      <c r="AC62" s="2">
        <f t="shared" si="7"/>
        <v>1.394894730699377E-2</v>
      </c>
      <c r="AD62" s="2">
        <f t="shared" si="8"/>
        <v>2690125.9615872372</v>
      </c>
      <c r="AI62">
        <f t="shared" si="9"/>
        <v>1.8754512138246546E-6</v>
      </c>
      <c r="AK62">
        <f t="shared" si="10"/>
        <v>9.8314803400447082E-6</v>
      </c>
      <c r="AL62">
        <f t="shared" si="11"/>
        <v>-3.9835456999611272</v>
      </c>
      <c r="AM62">
        <f t="shared" si="12"/>
        <v>15.084872245295127</v>
      </c>
      <c r="AN62">
        <f t="shared" si="13"/>
        <v>227.55337065687525</v>
      </c>
      <c r="AO62">
        <f t="shared" si="14"/>
        <v>4.3945734449606852E-3</v>
      </c>
      <c r="AQ62" s="3">
        <f t="shared" si="45"/>
        <v>176.80000000000052</v>
      </c>
      <c r="AR62" s="3">
        <f t="shared" si="15"/>
        <v>636.80000000000052</v>
      </c>
      <c r="AS62">
        <f t="shared" si="51"/>
        <v>835.89832580765881</v>
      </c>
      <c r="AV62" s="3">
        <f t="shared" si="16"/>
        <v>1.6981333333333348</v>
      </c>
      <c r="AW62" s="3">
        <f t="shared" si="17"/>
        <v>1.2457501129771369</v>
      </c>
      <c r="AX62" s="4">
        <v>0.8</v>
      </c>
      <c r="AY62" s="5">
        <f t="shared" si="18"/>
        <v>0.24758990055538432</v>
      </c>
      <c r="AZ62" s="5">
        <f t="shared" si="19"/>
        <v>-0.102602285597148</v>
      </c>
      <c r="BA62" s="5">
        <f t="shared" si="20"/>
        <v>1.0909733408475153E-2</v>
      </c>
      <c r="BB62" s="5">
        <f t="shared" si="21"/>
        <v>-3.6305927078021629E-5</v>
      </c>
      <c r="BC62" s="5">
        <f t="shared" si="22"/>
        <v>8.0182031411496629E-3</v>
      </c>
      <c r="BD62" s="5">
        <f t="shared" si="23"/>
        <v>0.9567646456013813</v>
      </c>
      <c r="BE62" s="6">
        <f t="shared" si="24"/>
        <v>0.91601528702510704</v>
      </c>
      <c r="BF62" s="7">
        <f t="shared" si="25"/>
        <v>0.11601528702510699</v>
      </c>
      <c r="BG62" s="5">
        <v>0.85</v>
      </c>
      <c r="BH62" s="5">
        <f t="shared" si="26"/>
        <v>0.23302578875800881</v>
      </c>
      <c r="BI62" s="5">
        <f t="shared" si="27"/>
        <v>-9.6566857032609893E-2</v>
      </c>
      <c r="BJ62" s="5">
        <f t="shared" si="28"/>
        <v>9.6639853030091351E-3</v>
      </c>
      <c r="BK62" s="5">
        <f t="shared" si="29"/>
        <v>-2.6812223901254589E-5</v>
      </c>
      <c r="BL62" s="5">
        <f t="shared" si="30"/>
        <v>7.0683013693567751E-3</v>
      </c>
      <c r="BM62" s="5">
        <f t="shared" si="31"/>
        <v>0.96160546292284943</v>
      </c>
      <c r="BN62" s="8">
        <f t="shared" si="32"/>
        <v>0.91992085770465903</v>
      </c>
      <c r="BO62" s="9">
        <f t="shared" si="33"/>
        <v>6.9920857704659056E-2</v>
      </c>
      <c r="BP62" s="10">
        <f t="shared" si="34"/>
        <v>-0.92188858640895999</v>
      </c>
      <c r="BQ62" s="10">
        <f t="shared" si="35"/>
        <v>0.92584523632841831</v>
      </c>
    </row>
    <row r="63" spans="2:69">
      <c r="B63">
        <f t="shared" si="36"/>
        <v>9400</v>
      </c>
      <c r="C63">
        <f t="shared" si="46"/>
        <v>177.60000000000053</v>
      </c>
      <c r="D63">
        <f t="shared" si="0"/>
        <v>637.60000000000059</v>
      </c>
      <c r="E63">
        <f t="shared" si="37"/>
        <v>637.2000000000005</v>
      </c>
      <c r="F63">
        <f t="shared" si="47"/>
        <v>842.95833261524342</v>
      </c>
      <c r="G63">
        <f t="shared" si="38"/>
        <v>839.42832921145111</v>
      </c>
      <c r="H63">
        <f t="shared" si="1"/>
        <v>0.92564743518967174</v>
      </c>
      <c r="I63">
        <f t="shared" si="39"/>
        <v>0.92574633575904497</v>
      </c>
      <c r="K63">
        <f t="shared" si="40"/>
        <v>-7.3882698485366648E-3</v>
      </c>
      <c r="L63">
        <f t="shared" si="41"/>
        <v>4.3945734449606852E-3</v>
      </c>
      <c r="M63">
        <f t="shared" si="48"/>
        <v>335135278.62544256</v>
      </c>
      <c r="N63">
        <f t="shared" si="49"/>
        <v>722521.00768076431</v>
      </c>
      <c r="O63">
        <f>SQRT(N63)</f>
        <v>850.01235736944693</v>
      </c>
      <c r="Q63" s="2">
        <f t="shared" si="42"/>
        <v>2.5065381980928438</v>
      </c>
      <c r="R63" s="2">
        <f t="shared" si="2"/>
        <v>4.016888137969301E-2</v>
      </c>
      <c r="W63" s="2">
        <f t="shared" si="3"/>
        <v>155872.6336474212</v>
      </c>
      <c r="X63" s="2">
        <f t="shared" si="43"/>
        <v>1209.4754300000006</v>
      </c>
      <c r="Y63" s="2">
        <f t="shared" si="4"/>
        <v>128.87622995981084</v>
      </c>
      <c r="Z63" s="2">
        <f t="shared" si="44"/>
        <v>5.185051187910914</v>
      </c>
      <c r="AA63" s="2">
        <f t="shared" si="5"/>
        <v>1.2938446158086128</v>
      </c>
      <c r="AB63" s="2">
        <f t="shared" si="6"/>
        <v>1.0843543714357968</v>
      </c>
      <c r="AC63" s="2">
        <f t="shared" si="7"/>
        <v>1.397475033310859E-2</v>
      </c>
      <c r="AD63" s="2">
        <f t="shared" si="8"/>
        <v>2685158.9039451028</v>
      </c>
      <c r="AI63">
        <f t="shared" si="9"/>
        <v>1.878920458892569E-6</v>
      </c>
      <c r="AK63">
        <f t="shared" si="10"/>
        <v>9.8478120596135269E-6</v>
      </c>
      <c r="AL63">
        <f t="shared" si="11"/>
        <v>-3.9834774145730081</v>
      </c>
      <c r="AM63">
        <f t="shared" si="12"/>
        <v>15.0847318027136</v>
      </c>
      <c r="AN63">
        <f t="shared" si="13"/>
        <v>227.54913355979909</v>
      </c>
      <c r="AO63">
        <f t="shared" si="14"/>
        <v>4.39465527447154E-3</v>
      </c>
      <c r="AQ63" s="3">
        <f t="shared" si="45"/>
        <v>177.60000000000053</v>
      </c>
      <c r="AR63" s="3">
        <f t="shared" si="15"/>
        <v>637.60000000000059</v>
      </c>
      <c r="AS63">
        <f t="shared" si="51"/>
        <v>842.95833261524342</v>
      </c>
      <c r="AV63" s="3">
        <f t="shared" si="16"/>
        <v>1.7002666666666681</v>
      </c>
      <c r="AW63" s="3">
        <f t="shared" si="17"/>
        <v>1.2562717326605715</v>
      </c>
      <c r="AX63" s="4">
        <v>0.8</v>
      </c>
      <c r="AY63" s="5">
        <f t="shared" si="18"/>
        <v>0.24936777158854054</v>
      </c>
      <c r="AZ63" s="5">
        <f t="shared" si="19"/>
        <v>-0.10303633094820275</v>
      </c>
      <c r="BA63" s="5">
        <f t="shared" si="20"/>
        <v>1.109082391482917E-2</v>
      </c>
      <c r="BB63" s="5">
        <f t="shared" si="21"/>
        <v>-3.7589241132974206E-5</v>
      </c>
      <c r="BC63" s="5">
        <f t="shared" si="22"/>
        <v>8.1081347275701078E-3</v>
      </c>
      <c r="BD63" s="5">
        <f t="shared" si="23"/>
        <v>0.95615535887489889</v>
      </c>
      <c r="BE63" s="6">
        <f t="shared" si="24"/>
        <v>0.91584471867800521</v>
      </c>
      <c r="BF63" s="7">
        <f t="shared" si="25"/>
        <v>0.11584471867800517</v>
      </c>
      <c r="BG63" s="5">
        <v>0.85</v>
      </c>
      <c r="BH63" s="5">
        <f t="shared" si="26"/>
        <v>0.23469907914215579</v>
      </c>
      <c r="BI63" s="5">
        <f t="shared" si="27"/>
        <v>-9.6975370304190817E-2</v>
      </c>
      <c r="BJ63" s="5">
        <f t="shared" si="28"/>
        <v>9.824397654658366E-3</v>
      </c>
      <c r="BK63" s="5">
        <f t="shared" si="29"/>
        <v>-2.7759961820274548E-5</v>
      </c>
      <c r="BL63" s="5">
        <f t="shared" si="30"/>
        <v>7.1471000716404028E-3</v>
      </c>
      <c r="BM63" s="5">
        <f t="shared" si="31"/>
        <v>0.96106299828061648</v>
      </c>
      <c r="BN63" s="8">
        <f t="shared" si="32"/>
        <v>0.91974560073615019</v>
      </c>
      <c r="BO63" s="9">
        <f t="shared" si="33"/>
        <v>6.9745600736150215E-2</v>
      </c>
      <c r="BP63" s="10">
        <f t="shared" si="34"/>
        <v>-0.92198235883710022</v>
      </c>
      <c r="BQ63" s="10">
        <f t="shared" si="35"/>
        <v>0.92564743518967174</v>
      </c>
    </row>
    <row r="64" spans="2:69">
      <c r="B64">
        <f t="shared" si="36"/>
        <v>9600</v>
      </c>
      <c r="C64">
        <f t="shared" si="46"/>
        <v>178.40000000000055</v>
      </c>
      <c r="D64">
        <f t="shared" si="0"/>
        <v>638.40000000000055</v>
      </c>
      <c r="E64">
        <f t="shared" si="37"/>
        <v>638.00000000000057</v>
      </c>
      <c r="F64">
        <f t="shared" si="47"/>
        <v>850.01235736944693</v>
      </c>
      <c r="G64">
        <f t="shared" si="38"/>
        <v>846.48534499234518</v>
      </c>
      <c r="H64">
        <f t="shared" si="1"/>
        <v>0.92545578928575822</v>
      </c>
      <c r="I64">
        <f t="shared" si="39"/>
        <v>0.92555161223771498</v>
      </c>
      <c r="K64">
        <f t="shared" si="40"/>
        <v>-7.3805580031363251E-3</v>
      </c>
      <c r="L64">
        <f t="shared" si="41"/>
        <v>4.39465527447154E-3</v>
      </c>
      <c r="M64">
        <f t="shared" si="48"/>
        <v>335842254.63835448</v>
      </c>
      <c r="N64">
        <f t="shared" si="49"/>
        <v>734553.28191640228</v>
      </c>
      <c r="O64">
        <f t="shared" si="50"/>
        <v>857.06083909860342</v>
      </c>
      <c r="Q64" s="2">
        <f t="shared" si="42"/>
        <v>2.5248687925381237</v>
      </c>
      <c r="R64" s="2">
        <f t="shared" si="2"/>
        <v>4.0462640906059673E-2</v>
      </c>
      <c r="W64" s="2">
        <f t="shared" si="3"/>
        <v>156166.08694160552</v>
      </c>
      <c r="X64" s="2">
        <f t="shared" si="43"/>
        <v>1210.2754300000006</v>
      </c>
      <c r="Y64" s="2">
        <f t="shared" si="4"/>
        <v>129.03351011728415</v>
      </c>
      <c r="Z64" s="2">
        <f t="shared" si="44"/>
        <v>5.1831125269548854</v>
      </c>
      <c r="AA64" s="2">
        <f t="shared" si="5"/>
        <v>1.2942757740052335</v>
      </c>
      <c r="AB64" s="2">
        <f t="shared" si="6"/>
        <v>1.0850307883875168</v>
      </c>
      <c r="AC64" s="2">
        <f t="shared" si="7"/>
        <v>1.4000533121096545E-2</v>
      </c>
      <c r="AD64" s="2">
        <f t="shared" si="8"/>
        <v>2680214.0291938647</v>
      </c>
      <c r="AI64">
        <f t="shared" si="9"/>
        <v>1.8823869829222031E-6</v>
      </c>
      <c r="AK64">
        <f t="shared" si="10"/>
        <v>9.8641279008106301E-6</v>
      </c>
      <c r="AL64">
        <f t="shared" si="11"/>
        <v>-3.9834092062941346</v>
      </c>
      <c r="AM64">
        <f t="shared" si="12"/>
        <v>15.084591486024491</v>
      </c>
      <c r="AN64">
        <f t="shared" si="13"/>
        <v>227.54490030024257</v>
      </c>
      <c r="AO64">
        <f t="shared" si="14"/>
        <v>4.3947370329131211E-3</v>
      </c>
      <c r="AQ64" s="3">
        <f t="shared" si="45"/>
        <v>178.40000000000055</v>
      </c>
      <c r="AR64" s="3">
        <f t="shared" si="15"/>
        <v>638.40000000000055</v>
      </c>
      <c r="AS64">
        <f t="shared" si="51"/>
        <v>850.01235736944693</v>
      </c>
      <c r="AV64" s="3">
        <f t="shared" si="16"/>
        <v>1.7024000000000015</v>
      </c>
      <c r="AW64" s="3">
        <f t="shared" si="17"/>
        <v>1.2667844372122905</v>
      </c>
      <c r="AX64" s="4">
        <v>0.8</v>
      </c>
      <c r="AY64" s="5">
        <f t="shared" si="18"/>
        <v>0.25113941938389789</v>
      </c>
      <c r="AZ64" s="5">
        <f t="shared" si="19"/>
        <v>-0.1034645373171466</v>
      </c>
      <c r="BA64" s="5">
        <f t="shared" si="20"/>
        <v>1.1273115355421083E-2</v>
      </c>
      <c r="BB64" s="5">
        <f t="shared" si="21"/>
        <v>-3.8903244713333022E-5</v>
      </c>
      <c r="BC64" s="5">
        <f t="shared" si="22"/>
        <v>8.1978889317178873E-3</v>
      </c>
      <c r="BD64" s="5">
        <f t="shared" si="23"/>
        <v>0.9555442584057533</v>
      </c>
      <c r="BE64" s="6">
        <f t="shared" si="24"/>
        <v>0.91568092698273895</v>
      </c>
      <c r="BF64" s="7">
        <f t="shared" si="25"/>
        <v>0.11568092698273891</v>
      </c>
      <c r="BG64" s="5">
        <v>0.85</v>
      </c>
      <c r="BH64" s="5">
        <f t="shared" si="26"/>
        <v>0.23636651236131564</v>
      </c>
      <c r="BI64" s="5">
        <f t="shared" si="27"/>
        <v>-9.7378388063196791E-2</v>
      </c>
      <c r="BJ64" s="5">
        <f t="shared" si="28"/>
        <v>9.9858738096463562E-3</v>
      </c>
      <c r="BK64" s="5">
        <f t="shared" si="29"/>
        <v>-2.8730364204654324E-5</v>
      </c>
      <c r="BL64" s="5">
        <f t="shared" si="30"/>
        <v>7.2257306462674715E-3</v>
      </c>
      <c r="BM64" s="5">
        <f t="shared" si="31"/>
        <v>0.96051887916452938</v>
      </c>
      <c r="BN64" s="8">
        <f t="shared" si="32"/>
        <v>0.91957666681215189</v>
      </c>
      <c r="BO64" s="9">
        <f t="shared" si="33"/>
        <v>6.9576666812151911E-2</v>
      </c>
      <c r="BP64" s="10">
        <f t="shared" si="34"/>
        <v>-0.92208520341174116</v>
      </c>
      <c r="BQ64" s="10">
        <f t="shared" si="35"/>
        <v>0.92545578928575822</v>
      </c>
    </row>
    <row r="65" spans="2:69">
      <c r="B65">
        <f t="shared" si="36"/>
        <v>9800</v>
      </c>
      <c r="C65">
        <f t="shared" si="46"/>
        <v>179.20000000000056</v>
      </c>
      <c r="D65">
        <f t="shared" si="0"/>
        <v>639.2000000000005</v>
      </c>
      <c r="E65">
        <f t="shared" si="37"/>
        <v>638.80000000000052</v>
      </c>
      <c r="F65">
        <f t="shared" si="47"/>
        <v>857.06083909860342</v>
      </c>
      <c r="G65">
        <f t="shared" si="38"/>
        <v>853.53659823402518</v>
      </c>
      <c r="H65">
        <f t="shared" si="1"/>
        <v>0.925270212648034</v>
      </c>
      <c r="I65">
        <f t="shared" si="39"/>
        <v>0.92536300096689605</v>
      </c>
      <c r="K65">
        <f t="shared" si="40"/>
        <v>-7.3728174265152817E-3</v>
      </c>
      <c r="L65">
        <f t="shared" si="41"/>
        <v>4.3947370329131211E-3</v>
      </c>
      <c r="M65">
        <f t="shared" si="48"/>
        <v>336554074.38816363</v>
      </c>
      <c r="N65">
        <f t="shared" si="49"/>
        <v>746676.0732372459</v>
      </c>
      <c r="O65">
        <f t="shared" si="50"/>
        <v>864.10420276564207</v>
      </c>
      <c r="Q65" s="2">
        <f t="shared" si="42"/>
        <v>2.5431292572605511</v>
      </c>
      <c r="R65" s="2">
        <f t="shared" si="2"/>
        <v>4.0755276558662679E-2</v>
      </c>
      <c r="W65" s="2">
        <f t="shared" si="3"/>
        <v>156459.72416141929</v>
      </c>
      <c r="X65" s="2">
        <f t="shared" si="43"/>
        <v>1211.0754300000006</v>
      </c>
      <c r="Y65" s="2">
        <f t="shared" si="4"/>
        <v>129.1907343553483</v>
      </c>
      <c r="Z65" s="2">
        <f t="shared" si="44"/>
        <v>5.1811787187171454</v>
      </c>
      <c r="AA65" s="2">
        <f t="shared" si="5"/>
        <v>1.294705852957307</v>
      </c>
      <c r="AB65" s="2">
        <f t="shared" si="6"/>
        <v>1.0857045008454826</v>
      </c>
      <c r="AC65" s="2">
        <f t="shared" si="7"/>
        <v>1.4026296175713477E-2</v>
      </c>
      <c r="AD65" s="2">
        <f t="shared" si="8"/>
        <v>2675291.0973268794</v>
      </c>
      <c r="AI65">
        <f t="shared" si="9"/>
        <v>1.8858508537785316E-6</v>
      </c>
      <c r="AK65">
        <f t="shared" si="10"/>
        <v>9.8804281964063519E-6</v>
      </c>
      <c r="AL65">
        <f t="shared" si="11"/>
        <v>-3.9833410736990493</v>
      </c>
      <c r="AM65">
        <f t="shared" si="12"/>
        <v>15.08445129243948</v>
      </c>
      <c r="AN65">
        <f t="shared" si="13"/>
        <v>227.5406707939791</v>
      </c>
      <c r="AO65">
        <f t="shared" si="14"/>
        <v>4.3948187219041137E-3</v>
      </c>
      <c r="AQ65" s="3">
        <f t="shared" si="45"/>
        <v>179.20000000000056</v>
      </c>
      <c r="AR65" s="3">
        <f t="shared" si="15"/>
        <v>639.2000000000005</v>
      </c>
      <c r="AS65">
        <f t="shared" si="51"/>
        <v>857.06083909860342</v>
      </c>
      <c r="AV65" s="3">
        <f t="shared" si="16"/>
        <v>1.7045333333333346</v>
      </c>
      <c r="AW65" s="3">
        <f t="shared" si="17"/>
        <v>1.2772888809219127</v>
      </c>
      <c r="AX65" s="4">
        <v>0.8</v>
      </c>
      <c r="AY65" s="5">
        <f t="shared" si="18"/>
        <v>0.25290499685807177</v>
      </c>
      <c r="AZ65" s="5">
        <f t="shared" si="19"/>
        <v>-0.10388700674766026</v>
      </c>
      <c r="BA65" s="5">
        <f t="shared" si="20"/>
        <v>1.1456611516232885E-2</v>
      </c>
      <c r="BB65" s="5">
        <f t="shared" si="21"/>
        <v>-4.0248373283027323E-5</v>
      </c>
      <c r="BC65" s="5">
        <f t="shared" si="22"/>
        <v>8.2874681551350117E-3</v>
      </c>
      <c r="BD65" s="5">
        <f t="shared" si="23"/>
        <v>0.95493134046099948</v>
      </c>
      <c r="BE65" s="6">
        <f t="shared" si="24"/>
        <v>0.91552381621626655</v>
      </c>
      <c r="BF65" s="7">
        <f t="shared" si="25"/>
        <v>0.11552381621626651</v>
      </c>
      <c r="BG65" s="5">
        <v>0.85</v>
      </c>
      <c r="BH65" s="5">
        <f t="shared" si="26"/>
        <v>0.23802823233700876</v>
      </c>
      <c r="BI65" s="5">
        <f t="shared" si="27"/>
        <v>-9.7776006350739075E-2</v>
      </c>
      <c r="BJ65" s="5">
        <f t="shared" si="28"/>
        <v>1.0148417121645742E-2</v>
      </c>
      <c r="BK65" s="5">
        <f t="shared" si="29"/>
        <v>-2.972375264806504E-5</v>
      </c>
      <c r="BL65" s="5">
        <f t="shared" si="30"/>
        <v>7.304195202520119E-3</v>
      </c>
      <c r="BM65" s="5">
        <f t="shared" si="31"/>
        <v>0.95997310186845664</v>
      </c>
      <c r="BN65" s="8">
        <f t="shared" si="32"/>
        <v>0.91941396544877063</v>
      </c>
      <c r="BO65" s="9">
        <f t="shared" si="33"/>
        <v>6.9413965448770654E-2</v>
      </c>
      <c r="BP65" s="10">
        <f t="shared" si="34"/>
        <v>-0.92219701534991827</v>
      </c>
      <c r="BQ65" s="10">
        <f t="shared" si="35"/>
        <v>0.925270212648034</v>
      </c>
    </row>
    <row r="66" spans="2:69">
      <c r="B66">
        <f t="shared" si="36"/>
        <v>10000</v>
      </c>
      <c r="C66">
        <f t="shared" si="46"/>
        <v>180.00000000000057</v>
      </c>
      <c r="D66">
        <f t="shared" si="0"/>
        <v>640.00000000000057</v>
      </c>
      <c r="E66">
        <f t="shared" si="37"/>
        <v>639.60000000000059</v>
      </c>
      <c r="F66">
        <f t="shared" si="47"/>
        <v>864.10420276564207</v>
      </c>
      <c r="G66">
        <f t="shared" si="38"/>
        <v>860.58252093212275</v>
      </c>
      <c r="H66">
        <f t="shared" si="1"/>
        <v>0.92509062165995193</v>
      </c>
      <c r="I66">
        <f t="shared" si="39"/>
        <v>0.92518041715399302</v>
      </c>
      <c r="K66">
        <f t="shared" si="40"/>
        <v>-7.3650488423988476E-3</v>
      </c>
      <c r="L66">
        <f t="shared" si="41"/>
        <v>4.3948187219041137E-3</v>
      </c>
      <c r="M66">
        <f t="shared" si="48"/>
        <v>337270706.00715506</v>
      </c>
      <c r="N66">
        <f t="shared" si="49"/>
        <v>758889.88229921414</v>
      </c>
      <c r="O66">
        <f t="shared" si="50"/>
        <v>871.14285986812411</v>
      </c>
      <c r="Q66" s="2">
        <f t="shared" si="42"/>
        <v>2.5613209107565389</v>
      </c>
      <c r="R66" s="2">
        <f t="shared" si="2"/>
        <v>4.1046809467252227E-2</v>
      </c>
      <c r="W66" s="2">
        <f t="shared" si="3"/>
        <v>156753.54519172938</v>
      </c>
      <c r="X66" s="2">
        <f t="shared" si="43"/>
        <v>1211.8754300000005</v>
      </c>
      <c r="Y66" s="2">
        <f t="shared" si="4"/>
        <v>129.34790268974206</v>
      </c>
      <c r="Z66" s="2">
        <f t="shared" si="44"/>
        <v>5.1792497449999981</v>
      </c>
      <c r="AA66" s="2">
        <f t="shared" si="5"/>
        <v>1.2951348567120005</v>
      </c>
      <c r="AB66" s="2">
        <f t="shared" si="6"/>
        <v>1.0863755571853897</v>
      </c>
      <c r="AC66" s="2">
        <f t="shared" si="7"/>
        <v>1.405203998553301E-2</v>
      </c>
      <c r="AD66" s="2">
        <f t="shared" si="8"/>
        <v>2670389.8740673116</v>
      </c>
      <c r="AI66">
        <f t="shared" si="9"/>
        <v>1.889312137150812E-6</v>
      </c>
      <c r="AK66">
        <f t="shared" si="10"/>
        <v>9.8967132686378818E-6</v>
      </c>
      <c r="AL66">
        <f t="shared" si="11"/>
        <v>-3.9832730154072347</v>
      </c>
      <c r="AM66">
        <f t="shared" si="12"/>
        <v>15.084311219259583</v>
      </c>
      <c r="AN66">
        <f t="shared" si="13"/>
        <v>227.53644495948052</v>
      </c>
      <c r="AO66">
        <f t="shared" si="14"/>
        <v>4.3949003430113322E-3</v>
      </c>
      <c r="AQ66" s="3">
        <f t="shared" si="45"/>
        <v>180.00000000000057</v>
      </c>
      <c r="AR66" s="3">
        <f t="shared" si="15"/>
        <v>640.00000000000057</v>
      </c>
      <c r="AS66">
        <f t="shared" si="51"/>
        <v>864.10420276564207</v>
      </c>
      <c r="AV66" s="3">
        <f t="shared" si="16"/>
        <v>1.7066666666666681</v>
      </c>
      <c r="AW66" s="3">
        <f t="shared" si="17"/>
        <v>1.2877856971172013</v>
      </c>
      <c r="AX66" s="4">
        <v>0.8</v>
      </c>
      <c r="AY66" s="5">
        <f t="shared" si="18"/>
        <v>0.25466465201780569</v>
      </c>
      <c r="AZ66" s="5">
        <f t="shared" si="19"/>
        <v>-0.10430383826944568</v>
      </c>
      <c r="BA66" s="5">
        <f t="shared" si="20"/>
        <v>1.1641316171987773E-2</v>
      </c>
      <c r="BB66" s="5">
        <f t="shared" si="21"/>
        <v>-4.16250658603051E-5</v>
      </c>
      <c r="BC66" s="5">
        <f t="shared" si="22"/>
        <v>8.3768747660505818E-3</v>
      </c>
      <c r="BD66" s="5">
        <f t="shared" si="23"/>
        <v>0.95431660141731522</v>
      </c>
      <c r="BE66" s="6">
        <f t="shared" si="24"/>
        <v>0.91537329362563824</v>
      </c>
      <c r="BF66" s="7">
        <f t="shared" si="25"/>
        <v>0.1153732936256382</v>
      </c>
      <c r="BG66" s="5">
        <v>0.85</v>
      </c>
      <c r="BH66" s="5">
        <f t="shared" si="26"/>
        <v>0.2396843783696995</v>
      </c>
      <c r="BI66" s="5">
        <f t="shared" si="27"/>
        <v>-9.8168318371242999E-2</v>
      </c>
      <c r="BJ66" s="5">
        <f t="shared" si="28"/>
        <v>1.0312030934355954E-2</v>
      </c>
      <c r="BK66" s="5">
        <f t="shared" si="29"/>
        <v>-3.0740451369071175E-5</v>
      </c>
      <c r="BL66" s="5">
        <f t="shared" si="30"/>
        <v>7.3824958199643076E-3</v>
      </c>
      <c r="BM66" s="5">
        <f t="shared" si="31"/>
        <v>0.9594256627813198</v>
      </c>
      <c r="BN66" s="8">
        <f t="shared" si="32"/>
        <v>0.91925740895953167</v>
      </c>
      <c r="BO66" s="9">
        <f t="shared" si="33"/>
        <v>6.9257408959531697E-2</v>
      </c>
      <c r="BP66" s="10">
        <f t="shared" si="34"/>
        <v>-0.9223176933221312</v>
      </c>
      <c r="BQ66" s="10">
        <f t="shared" si="35"/>
        <v>0.92509062165995193</v>
      </c>
    </row>
  </sheetData>
  <conditionalFormatting sqref="O1:O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{F930D411-79B5-40F2-B96B-B2602CBA5B88}</x14:id>
        </ext>
      </extLst>
    </cfRule>
  </conditionalFormatting>
  <conditionalFormatting sqref="O17:O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{33462614-E76B-42D3-8892-DAB352186336}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0D411-79B5-40F2-B96B-B2602CBA5B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O1:O66</xm:sqref>
        </x14:conditionalFormatting>
        <x14:conditionalFormatting xmlns:xm="http://schemas.microsoft.com/office/excel/2006/main">
          <x14:cfRule type="dataBar" id="{33462614-E76B-42D3-8892-DAB352186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O17:O66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F644-CE1F-40D3-93B7-1794FC0554E1}">
  <dimension ref="B4:BQ66"/>
  <sheetViews>
    <sheetView topLeftCell="A40" workbookViewId="0">
      <selection activeCell="I11" sqref="I11"/>
    </sheetView>
  </sheetViews>
  <sheetFormatPr defaultRowHeight="14.4"/>
  <sheetData>
    <row r="4" spans="2:69">
      <c r="F4" s="11" t="s">
        <v>33</v>
      </c>
      <c r="G4" s="11">
        <v>12000</v>
      </c>
      <c r="H4" s="11" t="s">
        <v>78</v>
      </c>
    </row>
    <row r="5" spans="2:69">
      <c r="F5" s="11" t="s">
        <v>35</v>
      </c>
      <c r="G5" s="11">
        <v>3.48</v>
      </c>
      <c r="H5" s="11" t="s">
        <v>36</v>
      </c>
    </row>
    <row r="6" spans="2:69">
      <c r="F6" s="11" t="s">
        <v>1</v>
      </c>
      <c r="G6" s="11">
        <v>500</v>
      </c>
      <c r="H6" s="11" t="s">
        <v>37</v>
      </c>
    </row>
    <row r="7" spans="2:69" ht="16.2">
      <c r="F7" s="11" t="s">
        <v>38</v>
      </c>
      <c r="G7" s="11">
        <v>140</v>
      </c>
      <c r="H7" s="11" t="s">
        <v>39</v>
      </c>
    </row>
    <row r="8" spans="2:69" ht="16.2">
      <c r="F8" s="11" t="s">
        <v>40</v>
      </c>
      <c r="G8" s="11">
        <v>180</v>
      </c>
      <c r="H8" s="11" t="s">
        <v>39</v>
      </c>
    </row>
    <row r="9" spans="2:69" ht="15.6">
      <c r="F9" s="12" t="s">
        <v>59</v>
      </c>
      <c r="G9" s="11">
        <v>0.65</v>
      </c>
      <c r="H9" s="11"/>
    </row>
    <row r="12" spans="2:69">
      <c r="AQ12" s="11" t="s">
        <v>14</v>
      </c>
      <c r="AR12" s="11">
        <v>0.32650000000000001</v>
      </c>
      <c r="AS12" s="11" t="s">
        <v>15</v>
      </c>
      <c r="AT12" s="11">
        <v>-1.07</v>
      </c>
      <c r="AU12" s="11" t="s">
        <v>16</v>
      </c>
      <c r="AV12" s="11">
        <f>-0.5339</f>
        <v>-0.53390000000000004</v>
      </c>
      <c r="AW12" s="11" t="s">
        <v>17</v>
      </c>
      <c r="AX12" s="11">
        <f>0.01569</f>
        <v>1.5689999999999999E-2</v>
      </c>
      <c r="AY12" s="11" t="s">
        <v>18</v>
      </c>
      <c r="AZ12" s="11">
        <f>-0.05165</f>
        <v>-5.1650000000000001E-2</v>
      </c>
      <c r="BA12" s="11" t="s">
        <v>19</v>
      </c>
      <c r="BB12" s="11">
        <v>0.54749999999999999</v>
      </c>
      <c r="BC12" s="11" t="s">
        <v>20</v>
      </c>
      <c r="BD12" s="11">
        <v>-0.73609999999999998</v>
      </c>
    </row>
    <row r="13" spans="2:69">
      <c r="AQ13" s="11" t="s">
        <v>21</v>
      </c>
      <c r="AR13" s="11">
        <f>0.1844</f>
        <v>0.18440000000000001</v>
      </c>
      <c r="AS13" s="11" t="s">
        <v>22</v>
      </c>
      <c r="AT13" s="11">
        <f>0.1056</f>
        <v>0.1056</v>
      </c>
      <c r="AU13" s="11" t="s">
        <v>23</v>
      </c>
      <c r="AV13" s="11">
        <f>0.6134</f>
        <v>0.61339999999999995</v>
      </c>
      <c r="AW13" s="11" t="s">
        <v>24</v>
      </c>
      <c r="AX13" s="11">
        <v>0.72099999999999997</v>
      </c>
    </row>
    <row r="15" spans="2:69" s="15" customFormat="1" ht="31.8">
      <c r="B15" s="13" t="s">
        <v>0</v>
      </c>
      <c r="C15" s="14" t="s">
        <v>44</v>
      </c>
      <c r="D15" s="14" t="s">
        <v>45</v>
      </c>
      <c r="E15" s="14" t="s">
        <v>69</v>
      </c>
      <c r="F15" s="13" t="s">
        <v>1</v>
      </c>
      <c r="G15" s="14" t="s">
        <v>46</v>
      </c>
      <c r="H15" s="13" t="s">
        <v>3</v>
      </c>
      <c r="I15" s="14" t="s">
        <v>47</v>
      </c>
      <c r="J15" s="14" t="s">
        <v>34</v>
      </c>
      <c r="K15" s="13" t="s">
        <v>2</v>
      </c>
      <c r="L15" s="14" t="s">
        <v>48</v>
      </c>
      <c r="M15" s="14" t="s">
        <v>49</v>
      </c>
      <c r="N15" s="14" t="s">
        <v>68</v>
      </c>
      <c r="O15" s="14" t="s">
        <v>50</v>
      </c>
      <c r="Q15" s="16" t="s">
        <v>64</v>
      </c>
      <c r="R15" s="16" t="s">
        <v>65</v>
      </c>
      <c r="S15" s="16" t="s">
        <v>66</v>
      </c>
      <c r="T15" s="16" t="s">
        <v>67</v>
      </c>
      <c r="U15" s="14" t="s">
        <v>34</v>
      </c>
      <c r="V15" s="13" t="s">
        <v>29</v>
      </c>
      <c r="W15" s="13" t="s">
        <v>14</v>
      </c>
      <c r="X15" s="13" t="s">
        <v>15</v>
      </c>
      <c r="Y15" s="13" t="s">
        <v>30</v>
      </c>
      <c r="Z15" s="13" t="s">
        <v>31</v>
      </c>
      <c r="AA15" s="13" t="s">
        <v>32</v>
      </c>
      <c r="AB15" s="14" t="s">
        <v>51</v>
      </c>
      <c r="AC15" s="13" t="s">
        <v>41</v>
      </c>
      <c r="AD15" s="14" t="s">
        <v>52</v>
      </c>
      <c r="AG15" s="13" t="s">
        <v>28</v>
      </c>
      <c r="AH15" s="13" t="s">
        <v>25</v>
      </c>
      <c r="AI15" s="13" t="s">
        <v>26</v>
      </c>
      <c r="AJ15" s="13" t="s">
        <v>42</v>
      </c>
      <c r="AK15" s="13" t="s">
        <v>43</v>
      </c>
      <c r="AL15" s="13" t="s">
        <v>27</v>
      </c>
      <c r="AM15" s="14" t="s">
        <v>53</v>
      </c>
      <c r="AN15" s="14" t="s">
        <v>54</v>
      </c>
      <c r="AO15" s="14" t="s">
        <v>48</v>
      </c>
      <c r="AQ15" s="16" t="s">
        <v>70</v>
      </c>
      <c r="AR15" s="16" t="s">
        <v>71</v>
      </c>
      <c r="AS15" s="17" t="s">
        <v>72</v>
      </c>
      <c r="AT15" s="16" t="s">
        <v>73</v>
      </c>
      <c r="AU15" s="14" t="s">
        <v>55</v>
      </c>
      <c r="AV15" s="14" t="s">
        <v>56</v>
      </c>
      <c r="AW15" s="14" t="s">
        <v>57</v>
      </c>
      <c r="AX15" s="13" t="s">
        <v>3</v>
      </c>
      <c r="AY15" s="14" t="s">
        <v>58</v>
      </c>
      <c r="AZ15" s="13" t="s">
        <v>4</v>
      </c>
      <c r="BA15" s="13" t="s">
        <v>5</v>
      </c>
      <c r="BB15" s="13" t="s">
        <v>6</v>
      </c>
      <c r="BC15" s="13" t="s">
        <v>7</v>
      </c>
      <c r="BD15" s="13" t="s">
        <v>8</v>
      </c>
      <c r="BE15" s="13" t="s">
        <v>9</v>
      </c>
      <c r="BF15" s="13" t="s">
        <v>10</v>
      </c>
      <c r="BG15" s="13" t="s">
        <v>3</v>
      </c>
      <c r="BH15" s="14" t="s">
        <v>58</v>
      </c>
      <c r="BI15" s="13" t="s">
        <v>4</v>
      </c>
      <c r="BJ15" s="13" t="s">
        <v>5</v>
      </c>
      <c r="BK15" s="13" t="s">
        <v>6</v>
      </c>
      <c r="BL15" s="13" t="s">
        <v>7</v>
      </c>
      <c r="BM15" s="13" t="s">
        <v>8</v>
      </c>
      <c r="BN15" s="13" t="s">
        <v>11</v>
      </c>
      <c r="BO15" s="13" t="s">
        <v>12</v>
      </c>
      <c r="BP15" s="13" t="s">
        <v>13</v>
      </c>
      <c r="BQ15" s="13" t="s">
        <v>3</v>
      </c>
    </row>
    <row r="16" spans="2:69">
      <c r="B16">
        <v>0</v>
      </c>
      <c r="C16">
        <f>G7</f>
        <v>140</v>
      </c>
      <c r="D16">
        <f t="shared" ref="D16:D66" si="0">460+C16</f>
        <v>600</v>
      </c>
      <c r="F16">
        <f>G6</f>
        <v>500</v>
      </c>
      <c r="H16">
        <f t="shared" ref="H16:H66" si="1">BQ16</f>
        <v>0.94303052326056158</v>
      </c>
      <c r="J16">
        <f>G9</f>
        <v>0.65</v>
      </c>
      <c r="Q16" s="2">
        <f>(F16*$V$16)/(BQ16*10.73*D16)</f>
        <v>1.5507976490808908</v>
      </c>
      <c r="R16" s="2">
        <f t="shared" ref="R16:R66" si="2">Q16/62.4</f>
        <v>2.4852526427578379E-2</v>
      </c>
      <c r="S16" s="2">
        <v>375</v>
      </c>
      <c r="T16" s="2">
        <v>671</v>
      </c>
      <c r="U16" s="2">
        <f>G9</f>
        <v>0.65</v>
      </c>
      <c r="V16" s="2">
        <f>28.97*G9</f>
        <v>18.830500000000001</v>
      </c>
      <c r="W16" s="2">
        <f t="shared" ref="W16:W66" si="3">(9.379+0.01607*$V$16)*D16^1.5</f>
        <v>142289.96952809498</v>
      </c>
      <c r="X16" s="2">
        <f>209.2+19.26*$V$16+D16</f>
        <v>1171.8754300000001</v>
      </c>
      <c r="Y16" s="2">
        <f t="shared" ref="Y16:Y66" si="4">W16/X16</f>
        <v>121.42072944399472</v>
      </c>
      <c r="Z16" s="2">
        <f>3.448+(986.4/D16)+0.01009*$V$16</f>
        <v>5.2819997449999994</v>
      </c>
      <c r="AA16" s="2">
        <f t="shared" ref="AA16:AA66" si="5">2.447-(0.2224*Z16)</f>
        <v>1.2722832567120004</v>
      </c>
      <c r="AB16" s="2">
        <f t="shared" ref="AB16:AB66" si="6">EXP(Z16*R16^AA16)</f>
        <v>1.0491722728353319</v>
      </c>
      <c r="AC16" s="2">
        <f t="shared" ref="AC16:AC66" si="7">(Y16*10^-4)*AB16</f>
        <v>1.2739126268007984E-2</v>
      </c>
      <c r="AD16" s="2">
        <f t="shared" ref="AD16:AD66" si="8">(20.09*$U$16*$G$4)/($G$5*AC16)</f>
        <v>3534725.1763969534</v>
      </c>
      <c r="AG16">
        <v>5.9999999999999995E-4</v>
      </c>
      <c r="AH16">
        <f>AG16/3.7065</f>
        <v>1.6187778227438283E-4</v>
      </c>
      <c r="AI16">
        <f t="shared" ref="AI16:AI66" si="9">5.0452/AD16</f>
        <v>1.4273245438398459E-6</v>
      </c>
      <c r="AJ16">
        <f>(AG16^1.1098)/2.8257</f>
        <v>9.4029950191445224E-5</v>
      </c>
      <c r="AK16">
        <f t="shared" ref="AK16:AK66" si="10">(7.149/AD16)^0.8981</f>
        <v>7.6934208328555855E-6</v>
      </c>
      <c r="AL16">
        <f t="shared" ref="AL16:AL66" si="11">LOG($AJ$16+AK16)</f>
        <v>-3.9925792561153437</v>
      </c>
      <c r="AM16">
        <f t="shared" ref="AM16:AM66" si="12">-4*LOG($AH$16-AI16*AL16)</f>
        <v>15.10314765571651</v>
      </c>
      <c r="AN16">
        <f t="shared" ref="AN16:AN66" si="13">AM16^2</f>
        <v>228.10506911037513</v>
      </c>
      <c r="AO16">
        <f t="shared" ref="AO16:AO66" si="14">1/AN16</f>
        <v>4.3839446615547223E-3</v>
      </c>
      <c r="AQ16" s="3">
        <f>E16</f>
        <v>0</v>
      </c>
      <c r="AR16" s="3">
        <f t="shared" ref="AR16:AR66" si="15">D16</f>
        <v>600</v>
      </c>
      <c r="AS16" s="3">
        <f>G6</f>
        <v>500</v>
      </c>
      <c r="AT16" s="3">
        <f>S16</f>
        <v>375</v>
      </c>
      <c r="AU16" s="3">
        <f>T16</f>
        <v>671</v>
      </c>
      <c r="AV16" s="3">
        <f t="shared" ref="AV16:AV66" si="16">AR16/$AT$16</f>
        <v>1.6</v>
      </c>
      <c r="AW16" s="3">
        <f t="shared" ref="AW16:AW66" si="17">AS16/$AU$16</f>
        <v>0.7451564828614009</v>
      </c>
      <c r="AX16" s="4">
        <v>0.8</v>
      </c>
      <c r="AY16" s="5">
        <f t="shared" ref="AY16:AY66" si="18">0.27*AW16/AX16/AV16</f>
        <v>0.15718144560357675</v>
      </c>
      <c r="AZ16" s="5">
        <f t="shared" ref="AZ16:AZ66" si="19">($AR$12+$AT$12/AV16+$AV$12/AV16^3+$AX$12/AV16^4+$AZ$12/AV16^5)*AY16</f>
        <v>-7.4681353595679609E-2</v>
      </c>
      <c r="BA16" s="5">
        <f t="shared" ref="BA16:BA66" si="20">($BB$12+$BD$12/AV16+$AR$13/AV16^2)*AY16^2</f>
        <v>3.9398360285899962E-3</v>
      </c>
      <c r="BB16" s="5">
        <f t="shared" ref="BB16:BB66" si="21">$AT$13*($BD$12/AV16+$AR$13/AV16^2)*AY16^5</f>
        <v>-3.9313074953399843E-6</v>
      </c>
      <c r="BC16" s="5">
        <f t="shared" ref="BC16:BC66" si="22">$AV$13*(1+$AX$13*AY16^2)*(AY16^2/AV16^3)</f>
        <v>3.7657751723990979E-3</v>
      </c>
      <c r="BD16" s="5">
        <f t="shared" ref="BD16:BD66" si="23">EXP(-$AX$13*AY16^2)</f>
        <v>0.98234468325804625</v>
      </c>
      <c r="BE16" s="6">
        <f t="shared" ref="BE16:BE66" si="24">1+AZ16+BA16-BB16+BC16*BD16</f>
        <v>0.9329617029593571</v>
      </c>
      <c r="BF16" s="7">
        <f t="shared" ref="BF16:BF66" si="25">BE16-AX16</f>
        <v>0.13296170295935705</v>
      </c>
      <c r="BG16" s="5">
        <v>0.85</v>
      </c>
      <c r="BH16" s="5">
        <f t="shared" ref="BH16:BH66" si="26">0.27*AW16/BG16/AV16</f>
        <v>0.14793547821513106</v>
      </c>
      <c r="BI16" s="5">
        <f t="shared" ref="BI16:BI66" si="27">($AR$12+$AT$12/AV16+$AV$12/AV16^3+$AX$12/AV16^4+$AZ$12/AV16^5)*BH16</f>
        <v>-7.0288332795933758E-2</v>
      </c>
      <c r="BJ16" s="5">
        <f t="shared" ref="BJ16:BJ66" si="28">($BB$12+$BD$12/AV16+$AR$13/AV16^2)*BH16^2</f>
        <v>3.4899585581973673E-3</v>
      </c>
      <c r="BK16" s="5">
        <f t="shared" ref="BK16:BK66" si="29">$AT$13*($BD$12/AV16+$AR$13/AV16^2)*BH16^5</f>
        <v>-2.9033027186777404E-6</v>
      </c>
      <c r="BL16" s="5">
        <f t="shared" ref="BL16:BL66" si="30">$AV$13*(1+$AX$13*BH16^2)*(BH16^2/AV16^3)</f>
        <v>3.3291069004137432E-3</v>
      </c>
      <c r="BM16" s="5">
        <f t="shared" ref="BM16:BM66" si="31">EXP(-$AX$13*BH16^2)</f>
        <v>0.98434481947379804</v>
      </c>
      <c r="BN16" s="8">
        <f t="shared" ref="BN16:BN66" si="32">1+BI16+BJ16-BK16+(BL16*BM16)</f>
        <v>0.93648151819587899</v>
      </c>
      <c r="BO16" s="9">
        <f t="shared" ref="BO16:BO66" si="33">BN16-BG16</f>
        <v>8.6481518195879015E-2</v>
      </c>
      <c r="BP16" s="10">
        <f t="shared" ref="BP16:BP66" si="34">(BO16-BF16)/(BG16-AX16)</f>
        <v>-0.92960369526956199</v>
      </c>
      <c r="BQ16" s="10">
        <f t="shared" ref="BQ16:BQ66" si="35">AX16-BF16/BP16</f>
        <v>0.94303052326056158</v>
      </c>
    </row>
    <row r="17" spans="2:69">
      <c r="B17">
        <f t="shared" ref="B17:B66" si="36">B16+200</f>
        <v>200</v>
      </c>
      <c r="C17">
        <f>(C16+((180-140)/10000)*200)</f>
        <v>140.80000000000001</v>
      </c>
      <c r="D17">
        <f t="shared" si="0"/>
        <v>600.79999999999995</v>
      </c>
      <c r="E17">
        <f t="shared" ref="E17:E66" si="37">AVERAGE(D16:D17)</f>
        <v>600.4</v>
      </c>
      <c r="F17">
        <f>G6</f>
        <v>500</v>
      </c>
      <c r="G17">
        <f t="shared" ref="G17:G66" si="38">AVERAGE(F16:F17)</f>
        <v>500</v>
      </c>
      <c r="H17">
        <f t="shared" si="1"/>
        <v>0.94330241660840397</v>
      </c>
      <c r="I17">
        <f t="shared" ref="I17:I66" si="39">AVERAGE(H16:H17)</f>
        <v>0.94316646993448283</v>
      </c>
      <c r="K17">
        <f t="shared" ref="K17:K66" si="40">(-0.0375*$J$16*SIN(90)*200)/(I17*E17)</f>
        <v>-7.6962910232606556E-3</v>
      </c>
      <c r="L17">
        <f t="shared" ref="L17:L66" si="41">AO16</f>
        <v>4.3839446615547223E-3</v>
      </c>
      <c r="M17">
        <f>(L17*(I17*E17*$G$4)^2)/(SIN(90)*$G$5^5)</f>
        <v>443663305.76950055</v>
      </c>
      <c r="N17">
        <f>EXP(-K17)*(G17)^2-2.685*10^-3*M17*(1-EXP(-K17))</f>
        <v>261134.96550899971</v>
      </c>
      <c r="O17">
        <f>SQRT(N17)</f>
        <v>511.0136646988999</v>
      </c>
      <c r="Q17" s="2">
        <f t="shared" ref="Q17:Q66" si="42">(F17*$V$16)/(BQ17*10.73*D17)</f>
        <v>1.5482862722775319</v>
      </c>
      <c r="R17" s="2">
        <f t="shared" si="2"/>
        <v>2.4812280004447629E-2</v>
      </c>
      <c r="W17" s="2">
        <f t="shared" si="3"/>
        <v>142574.64430606135</v>
      </c>
      <c r="X17" s="2">
        <f t="shared" ref="X17:X66" si="43">209.2+19.26*$V$16+D17</f>
        <v>1172.67543</v>
      </c>
      <c r="Y17" s="2">
        <f t="shared" si="4"/>
        <v>121.58065280353094</v>
      </c>
      <c r="Z17" s="2">
        <f t="shared" ref="Z17:Z66" si="44">3.448+(986.4/D17)+0.01009*$V$16</f>
        <v>5.2798106637749669</v>
      </c>
      <c r="AA17" s="2">
        <f t="shared" si="5"/>
        <v>1.2727701083764476</v>
      </c>
      <c r="AB17" s="2">
        <f t="shared" si="6"/>
        <v>1.048957399540047</v>
      </c>
      <c r="AC17" s="2">
        <f t="shared" si="7"/>
        <v>1.2753292539917313E-2</v>
      </c>
      <c r="AD17" s="2">
        <f t="shared" si="8"/>
        <v>3530798.8273528256</v>
      </c>
      <c r="AI17">
        <f t="shared" si="9"/>
        <v>1.4289117694599948E-6</v>
      </c>
      <c r="AK17">
        <f t="shared" si="10"/>
        <v>7.7011039157667806E-6</v>
      </c>
      <c r="AL17">
        <f t="shared" si="11"/>
        <v>-3.9925464554474619</v>
      </c>
      <c r="AM17">
        <f t="shared" si="12"/>
        <v>15.10308244915413</v>
      </c>
      <c r="AN17">
        <f t="shared" si="13"/>
        <v>228.10309946594751</v>
      </c>
      <c r="AO17">
        <f t="shared" si="14"/>
        <v>4.3839825164203238E-3</v>
      </c>
      <c r="AQ17" s="3">
        <f t="shared" ref="AQ17:AQ66" si="45">C17</f>
        <v>140.80000000000001</v>
      </c>
      <c r="AR17" s="3">
        <f t="shared" si="15"/>
        <v>600.79999999999995</v>
      </c>
      <c r="AS17">
        <f>AS16</f>
        <v>500</v>
      </c>
      <c r="AV17" s="3">
        <f t="shared" si="16"/>
        <v>1.6021333333333332</v>
      </c>
      <c r="AW17" s="3">
        <f t="shared" si="17"/>
        <v>0.7451564828614009</v>
      </c>
      <c r="AX17" s="4">
        <v>0.8</v>
      </c>
      <c r="AY17" s="5">
        <f t="shared" si="18"/>
        <v>0.15697214940437096</v>
      </c>
      <c r="AZ17" s="5">
        <f t="shared" si="19"/>
        <v>-7.4357368677307467E-2</v>
      </c>
      <c r="BA17" s="5">
        <f t="shared" si="20"/>
        <v>3.939721858417438E-3</v>
      </c>
      <c r="BB17" s="5">
        <f t="shared" si="21"/>
        <v>-3.9009672889023649E-6</v>
      </c>
      <c r="BC17" s="5">
        <f t="shared" si="22"/>
        <v>3.7405958801686513E-3</v>
      </c>
      <c r="BD17" s="5">
        <f t="shared" si="23"/>
        <v>0.98239125396530558</v>
      </c>
      <c r="BE17" s="6">
        <f t="shared" si="24"/>
        <v>0.93326098282569514</v>
      </c>
      <c r="BF17" s="7">
        <f t="shared" si="25"/>
        <v>0.1332609828256951</v>
      </c>
      <c r="BG17" s="5">
        <v>0.85</v>
      </c>
      <c r="BH17" s="5">
        <f t="shared" si="26"/>
        <v>0.14773849355705501</v>
      </c>
      <c r="BI17" s="5">
        <f t="shared" si="27"/>
        <v>-6.9983405813936431E-2</v>
      </c>
      <c r="BJ17" s="5">
        <f t="shared" si="28"/>
        <v>3.4898574247573151E-3</v>
      </c>
      <c r="BK17" s="5">
        <f t="shared" si="29"/>
        <v>-2.8808962282314955E-6</v>
      </c>
      <c r="BL17" s="5">
        <f t="shared" si="30"/>
        <v>3.3068646402216692E-3</v>
      </c>
      <c r="BM17" s="5">
        <f t="shared" si="31"/>
        <v>0.98438615630121107</v>
      </c>
      <c r="BN17" s="8">
        <f t="shared" si="32"/>
        <v>0.93676456427964527</v>
      </c>
      <c r="BO17" s="9">
        <f t="shared" si="33"/>
        <v>8.6764564279645295E-2</v>
      </c>
      <c r="BP17" s="10">
        <f t="shared" si="34"/>
        <v>-0.92992837092099723</v>
      </c>
      <c r="BQ17" s="10">
        <f t="shared" si="35"/>
        <v>0.94330241660840397</v>
      </c>
    </row>
    <row r="18" spans="2:69">
      <c r="B18">
        <f t="shared" si="36"/>
        <v>400</v>
      </c>
      <c r="C18">
        <f t="shared" ref="C18:C66" si="46">(C17+((180-140)/10000)*200)</f>
        <v>141.60000000000002</v>
      </c>
      <c r="D18">
        <f t="shared" si="0"/>
        <v>601.6</v>
      </c>
      <c r="E18">
        <f t="shared" si="37"/>
        <v>601.20000000000005</v>
      </c>
      <c r="F18">
        <f t="shared" ref="F18:F66" si="47">O17</f>
        <v>511.0136646988999</v>
      </c>
      <c r="G18">
        <f t="shared" si="38"/>
        <v>505.50683234944995</v>
      </c>
      <c r="H18">
        <f t="shared" si="1"/>
        <v>0.94235864504925337</v>
      </c>
      <c r="I18">
        <f t="shared" si="39"/>
        <v>0.94283053082882873</v>
      </c>
      <c r="K18">
        <f t="shared" si="40"/>
        <v>-7.688788393918582E-3</v>
      </c>
      <c r="L18">
        <f t="shared" si="41"/>
        <v>4.3839825164203238E-3</v>
      </c>
      <c r="M18">
        <f t="shared" ref="M18:M66" si="48">(L18*(I18*E18*$G$4)^2)/(SIN(90)*$G$5^5)</f>
        <v>444533409.54970205</v>
      </c>
      <c r="N18">
        <f t="shared" ref="N18:N66" si="49">EXP(-K18)*(O17)^2-2.685*10^-3*M18*(1-EXP(-K18))</f>
        <v>272363.01083327451</v>
      </c>
      <c r="O18">
        <f t="shared" ref="O18:O66" si="50">SQRT(+N18)</f>
        <v>521.88409712624366</v>
      </c>
      <c r="Q18" s="2">
        <f t="shared" si="42"/>
        <v>1.5818692968268455</v>
      </c>
      <c r="R18" s="2">
        <f t="shared" si="2"/>
        <v>2.5350469500430219E-2</v>
      </c>
      <c r="W18" s="2">
        <f t="shared" si="3"/>
        <v>142859.50867765487</v>
      </c>
      <c r="X18" s="2">
        <f t="shared" si="43"/>
        <v>1173.47543</v>
      </c>
      <c r="Y18" s="2">
        <f t="shared" si="4"/>
        <v>121.74051967807701</v>
      </c>
      <c r="Z18" s="2">
        <f t="shared" si="44"/>
        <v>5.2776274045744671</v>
      </c>
      <c r="AA18" s="2">
        <f t="shared" si="5"/>
        <v>1.2732556652226386</v>
      </c>
      <c r="AB18" s="2">
        <f t="shared" si="6"/>
        <v>1.0502332430188535</v>
      </c>
      <c r="AC18" s="2">
        <f t="shared" si="7"/>
        <v>1.2785594078830738E-2</v>
      </c>
      <c r="AD18" s="2">
        <f t="shared" si="8"/>
        <v>3521878.6133202175</v>
      </c>
      <c r="AI18">
        <f t="shared" si="9"/>
        <v>1.4325309171413169E-6</v>
      </c>
      <c r="AK18">
        <f t="shared" si="10"/>
        <v>7.7186194172549566E-6</v>
      </c>
      <c r="AL18">
        <f t="shared" si="11"/>
        <v>-3.9924716874139459</v>
      </c>
      <c r="AM18">
        <f t="shared" si="12"/>
        <v>15.102933779810632</v>
      </c>
      <c r="AN18">
        <f t="shared" si="13"/>
        <v>228.09860875734506</v>
      </c>
      <c r="AO18">
        <f t="shared" si="14"/>
        <v>4.3840688264075124E-3</v>
      </c>
      <c r="AQ18" s="3">
        <f t="shared" si="45"/>
        <v>141.60000000000002</v>
      </c>
      <c r="AR18" s="3">
        <f t="shared" si="15"/>
        <v>601.6</v>
      </c>
      <c r="AS18">
        <f t="shared" ref="AS18:AS66" si="51">F18</f>
        <v>511.0136646988999</v>
      </c>
      <c r="AV18" s="3">
        <f t="shared" si="16"/>
        <v>1.6042666666666667</v>
      </c>
      <c r="AW18" s="3">
        <f t="shared" si="17"/>
        <v>0.76157029016229494</v>
      </c>
      <c r="AX18" s="4">
        <v>0.8</v>
      </c>
      <c r="AY18" s="5">
        <f t="shared" si="18"/>
        <v>0.16021648911014869</v>
      </c>
      <c r="AZ18" s="5">
        <f t="shared" si="19"/>
        <v>-7.5665872303639164E-2</v>
      </c>
      <c r="BA18" s="5">
        <f t="shared" si="20"/>
        <v>4.1150411465085326E-3</v>
      </c>
      <c r="BB18" s="5">
        <f t="shared" si="21"/>
        <v>-4.3164275603998401E-6</v>
      </c>
      <c r="BC18" s="5">
        <f t="shared" si="22"/>
        <v>3.8841212588822771E-3</v>
      </c>
      <c r="BD18" s="5">
        <f t="shared" si="23"/>
        <v>0.98166263144143162</v>
      </c>
      <c r="BE18" s="6">
        <f t="shared" si="24"/>
        <v>0.93226638196626166</v>
      </c>
      <c r="BF18" s="7">
        <f t="shared" si="25"/>
        <v>0.13226638196626161</v>
      </c>
      <c r="BG18" s="5">
        <v>0.85</v>
      </c>
      <c r="BH18" s="5">
        <f t="shared" si="26"/>
        <v>0.15079198975072819</v>
      </c>
      <c r="BI18" s="5">
        <f t="shared" si="27"/>
        <v>-7.1214938638719222E-2</v>
      </c>
      <c r="BJ18" s="5">
        <f t="shared" si="28"/>
        <v>3.6451575553847213E-3</v>
      </c>
      <c r="BK18" s="5">
        <f t="shared" si="29"/>
        <v>-3.1877170345843453E-6</v>
      </c>
      <c r="BL18" s="5">
        <f t="shared" si="30"/>
        <v>3.4334666984377803E-3</v>
      </c>
      <c r="BM18" s="5">
        <f t="shared" si="31"/>
        <v>0.9837393948601123</v>
      </c>
      <c r="BN18" s="8">
        <f t="shared" si="32"/>
        <v>0.93581104308589369</v>
      </c>
      <c r="BO18" s="9">
        <f t="shared" si="33"/>
        <v>8.5811043085893712E-2</v>
      </c>
      <c r="BP18" s="10">
        <f t="shared" si="34"/>
        <v>-0.92910677760735927</v>
      </c>
      <c r="BQ18" s="10">
        <f t="shared" si="35"/>
        <v>0.94235864504925337</v>
      </c>
    </row>
    <row r="19" spans="2:69">
      <c r="B19">
        <f t="shared" si="36"/>
        <v>600</v>
      </c>
      <c r="C19">
        <f t="shared" si="46"/>
        <v>142.40000000000003</v>
      </c>
      <c r="D19">
        <f t="shared" si="0"/>
        <v>602.40000000000009</v>
      </c>
      <c r="E19">
        <f t="shared" si="37"/>
        <v>602</v>
      </c>
      <c r="F19">
        <f t="shared" si="47"/>
        <v>521.88409712624366</v>
      </c>
      <c r="G19">
        <f t="shared" si="38"/>
        <v>516.44888091257178</v>
      </c>
      <c r="H19">
        <f t="shared" si="1"/>
        <v>0.94144393313680907</v>
      </c>
      <c r="I19">
        <f t="shared" si="39"/>
        <v>0.94190128909303117</v>
      </c>
      <c r="K19">
        <f t="shared" si="40"/>
        <v>-7.6861461024069506E-3</v>
      </c>
      <c r="L19">
        <f t="shared" si="41"/>
        <v>4.3840688264075124E-3</v>
      </c>
      <c r="M19">
        <f t="shared" si="48"/>
        <v>444847857.28790307</v>
      </c>
      <c r="N19">
        <f t="shared" si="49"/>
        <v>283680.32999748929</v>
      </c>
      <c r="O19">
        <f t="shared" si="50"/>
        <v>532.61649429724696</v>
      </c>
      <c r="Q19" s="2">
        <f t="shared" si="42"/>
        <v>1.6149414027066953</v>
      </c>
      <c r="R19" s="2">
        <f t="shared" si="2"/>
        <v>2.5880471197222681E-2</v>
      </c>
      <c r="W19" s="2">
        <f t="shared" si="3"/>
        <v>143144.562516773</v>
      </c>
      <c r="X19" s="2">
        <f t="shared" si="43"/>
        <v>1174.2754300000001</v>
      </c>
      <c r="Y19" s="2">
        <f t="shared" si="4"/>
        <v>121.90033007569015</v>
      </c>
      <c r="Z19" s="2">
        <f t="shared" si="44"/>
        <v>5.2754499442031868</v>
      </c>
      <c r="AA19" s="2">
        <f t="shared" si="5"/>
        <v>1.2737399324092114</v>
      </c>
      <c r="AB19" s="2">
        <f t="shared" si="6"/>
        <v>1.0514929290421906</v>
      </c>
      <c r="AC19" s="2">
        <f t="shared" si="7"/>
        <v>1.2817733512249728E-2</v>
      </c>
      <c r="AD19" s="2">
        <f t="shared" si="8"/>
        <v>3513047.7866304293</v>
      </c>
      <c r="AI19">
        <f t="shared" si="9"/>
        <v>1.4361319021051941E-6</v>
      </c>
      <c r="AK19">
        <f t="shared" si="10"/>
        <v>7.736042542320954E-6</v>
      </c>
      <c r="AL19">
        <f t="shared" si="11"/>
        <v>-3.9923973264738239</v>
      </c>
      <c r="AM19">
        <f t="shared" si="12"/>
        <v>15.102785874284404</v>
      </c>
      <c r="AN19">
        <f t="shared" si="13"/>
        <v>228.09414116448451</v>
      </c>
      <c r="AO19">
        <f t="shared" si="14"/>
        <v>4.3841546954898527E-3</v>
      </c>
      <c r="AQ19" s="3">
        <f t="shared" si="45"/>
        <v>142.40000000000003</v>
      </c>
      <c r="AR19" s="3">
        <f t="shared" si="15"/>
        <v>602.40000000000009</v>
      </c>
      <c r="AS19">
        <f t="shared" si="51"/>
        <v>521.88409712624366</v>
      </c>
      <c r="AV19" s="3">
        <f t="shared" si="16"/>
        <v>1.6064000000000003</v>
      </c>
      <c r="AW19" s="3">
        <f t="shared" si="17"/>
        <v>0.77777063655177892</v>
      </c>
      <c r="AX19" s="4">
        <v>0.8</v>
      </c>
      <c r="AY19" s="5">
        <f t="shared" si="18"/>
        <v>0.16340736419087734</v>
      </c>
      <c r="AZ19" s="5">
        <f t="shared" si="19"/>
        <v>-7.6940817163079905E-2</v>
      </c>
      <c r="BA19" s="5">
        <f t="shared" si="20"/>
        <v>4.291776595587749E-3</v>
      </c>
      <c r="BB19" s="5">
        <f t="shared" si="21"/>
        <v>-4.7585660885691158E-6</v>
      </c>
      <c r="BC19" s="5">
        <f t="shared" si="22"/>
        <v>4.0272404222225604E-3</v>
      </c>
      <c r="BD19" s="5">
        <f t="shared" si="23"/>
        <v>0.98093202047438599</v>
      </c>
      <c r="BE19" s="6">
        <f t="shared" si="24"/>
        <v>0.93130616708290337</v>
      </c>
      <c r="BF19" s="7">
        <f t="shared" si="25"/>
        <v>0.13130616708290332</v>
      </c>
      <c r="BG19" s="5">
        <v>0.85</v>
      </c>
      <c r="BH19" s="5">
        <f t="shared" si="26"/>
        <v>0.15379516629729631</v>
      </c>
      <c r="BI19" s="5">
        <f t="shared" si="27"/>
        <v>-7.2414886741722265E-2</v>
      </c>
      <c r="BJ19" s="5">
        <f t="shared" si="28"/>
        <v>3.8017121400362066E-3</v>
      </c>
      <c r="BK19" s="5">
        <f t="shared" si="29"/>
        <v>-3.5142399515496616E-6</v>
      </c>
      <c r="BL19" s="5">
        <f t="shared" si="30"/>
        <v>3.5596883335538023E-3</v>
      </c>
      <c r="BM19" s="5">
        <f t="shared" si="31"/>
        <v>0.98309081333625048</v>
      </c>
      <c r="BN19" s="8">
        <f t="shared" si="32"/>
        <v>0.93488983653732249</v>
      </c>
      <c r="BO19" s="9">
        <f t="shared" si="33"/>
        <v>8.4889836537322516E-2</v>
      </c>
      <c r="BP19" s="10">
        <f t="shared" si="34"/>
        <v>-0.92832661091161739</v>
      </c>
      <c r="BQ19" s="10">
        <f t="shared" si="35"/>
        <v>0.94144393313680907</v>
      </c>
    </row>
    <row r="20" spans="2:69">
      <c r="B20">
        <f t="shared" si="36"/>
        <v>800</v>
      </c>
      <c r="C20">
        <f t="shared" si="46"/>
        <v>143.20000000000005</v>
      </c>
      <c r="D20">
        <f t="shared" si="0"/>
        <v>603.20000000000005</v>
      </c>
      <c r="E20">
        <f t="shared" si="37"/>
        <v>602.80000000000007</v>
      </c>
      <c r="F20">
        <f t="shared" si="47"/>
        <v>532.61649429724696</v>
      </c>
      <c r="G20">
        <f t="shared" si="38"/>
        <v>527.25029571174537</v>
      </c>
      <c r="H20">
        <f t="shared" si="1"/>
        <v>0.94055736514070665</v>
      </c>
      <c r="I20">
        <f t="shared" si="39"/>
        <v>0.94100064913875792</v>
      </c>
      <c r="K20">
        <f t="shared" si="40"/>
        <v>-7.6832922249727839E-3</v>
      </c>
      <c r="L20">
        <f t="shared" si="41"/>
        <v>4.3841546954898527E-3</v>
      </c>
      <c r="M20">
        <f t="shared" si="48"/>
        <v>445187106.2415266</v>
      </c>
      <c r="N20">
        <f t="shared" si="49"/>
        <v>295087.74557432265</v>
      </c>
      <c r="O20">
        <f t="shared" si="50"/>
        <v>543.21979490287595</v>
      </c>
      <c r="Q20" s="2">
        <f t="shared" si="42"/>
        <v>1.6475178178878307</v>
      </c>
      <c r="R20" s="2">
        <f t="shared" si="2"/>
        <v>2.6402529132817799E-2</v>
      </c>
      <c r="W20" s="2">
        <f t="shared" si="3"/>
        <v>143429.80569756631</v>
      </c>
      <c r="X20" s="2">
        <f t="shared" si="43"/>
        <v>1175.0754300000001</v>
      </c>
      <c r="Y20" s="2">
        <f t="shared" si="4"/>
        <v>122.06008400462113</v>
      </c>
      <c r="Z20" s="2">
        <f t="shared" si="44"/>
        <v>5.2732782595888592</v>
      </c>
      <c r="AA20" s="2">
        <f t="shared" si="5"/>
        <v>1.2742229150674378</v>
      </c>
      <c r="AB20" s="2">
        <f t="shared" si="6"/>
        <v>1.0527366976358477</v>
      </c>
      <c r="AC20" s="2">
        <f t="shared" si="7"/>
        <v>1.2849712974817901E-2</v>
      </c>
      <c r="AD20" s="2">
        <f t="shared" si="8"/>
        <v>3504304.7601976278</v>
      </c>
      <c r="AI20">
        <f t="shared" si="9"/>
        <v>1.4397149635225998E-6</v>
      </c>
      <c r="AK20">
        <f t="shared" si="10"/>
        <v>7.7533745275128613E-6</v>
      </c>
      <c r="AL20">
        <f t="shared" si="11"/>
        <v>-3.9923233671440492</v>
      </c>
      <c r="AM20">
        <f t="shared" si="12"/>
        <v>15.102638722480181</v>
      </c>
      <c r="AN20">
        <f t="shared" si="13"/>
        <v>228.08969638175779</v>
      </c>
      <c r="AO20">
        <f t="shared" si="14"/>
        <v>4.3842401294895946E-3</v>
      </c>
      <c r="AQ20" s="3">
        <f t="shared" si="45"/>
        <v>143.20000000000005</v>
      </c>
      <c r="AR20" s="3">
        <f t="shared" si="15"/>
        <v>603.20000000000005</v>
      </c>
      <c r="AS20">
        <f t="shared" si="51"/>
        <v>532.61649429724696</v>
      </c>
      <c r="AV20" s="3">
        <f t="shared" si="16"/>
        <v>1.6085333333333334</v>
      </c>
      <c r="AW20" s="3">
        <f t="shared" si="17"/>
        <v>0.79376526720901186</v>
      </c>
      <c r="AX20" s="4">
        <v>0.8</v>
      </c>
      <c r="AY20" s="5">
        <f t="shared" si="18"/>
        <v>0.1665466124521561</v>
      </c>
      <c r="AZ20" s="5">
        <f t="shared" si="19"/>
        <v>-7.818333936871992E-2</v>
      </c>
      <c r="BA20" s="5">
        <f t="shared" si="20"/>
        <v>4.4698637953375512E-3</v>
      </c>
      <c r="BB20" s="5">
        <f t="shared" si="21"/>
        <v>-5.2278971402427382E-6</v>
      </c>
      <c r="BC20" s="5">
        <f t="shared" si="22"/>
        <v>4.1698929110489105E-3</v>
      </c>
      <c r="BD20" s="5">
        <f t="shared" si="23"/>
        <v>0.98019971708166331</v>
      </c>
      <c r="BE20" s="6">
        <f t="shared" si="24"/>
        <v>0.93037908017542881</v>
      </c>
      <c r="BF20" s="7">
        <f t="shared" si="25"/>
        <v>0.13037908017542876</v>
      </c>
      <c r="BG20" s="5">
        <v>0.85</v>
      </c>
      <c r="BH20" s="5">
        <f t="shared" si="26"/>
        <v>0.15674975289614693</v>
      </c>
      <c r="BI20" s="5">
        <f t="shared" si="27"/>
        <v>-7.3584319405854054E-2</v>
      </c>
      <c r="BJ20" s="5">
        <f t="shared" si="28"/>
        <v>3.9594641232055822E-3</v>
      </c>
      <c r="BK20" s="5">
        <f t="shared" si="29"/>
        <v>-3.8608447693867565E-6</v>
      </c>
      <c r="BL20" s="5">
        <f t="shared" si="30"/>
        <v>3.6854762597455771E-3</v>
      </c>
      <c r="BM20" s="5">
        <f t="shared" si="31"/>
        <v>0.98244067404935287</v>
      </c>
      <c r="BN20" s="8">
        <f t="shared" si="32"/>
        <v>0.93399976734293821</v>
      </c>
      <c r="BO20" s="9">
        <f t="shared" si="33"/>
        <v>8.3999767342938236E-2</v>
      </c>
      <c r="BP20" s="10">
        <f t="shared" si="34"/>
        <v>-0.92758625664981176</v>
      </c>
      <c r="BQ20" s="10">
        <f t="shared" si="35"/>
        <v>0.94055736514070665</v>
      </c>
    </row>
    <row r="21" spans="2:69">
      <c r="B21">
        <f t="shared" si="36"/>
        <v>1000</v>
      </c>
      <c r="C21">
        <f t="shared" si="46"/>
        <v>144.00000000000006</v>
      </c>
      <c r="D21">
        <f t="shared" si="0"/>
        <v>604</v>
      </c>
      <c r="E21">
        <f t="shared" si="37"/>
        <v>603.6</v>
      </c>
      <c r="F21">
        <f t="shared" si="47"/>
        <v>543.21979490287595</v>
      </c>
      <c r="G21">
        <f t="shared" si="38"/>
        <v>537.9181446000614</v>
      </c>
      <c r="H21">
        <f t="shared" si="1"/>
        <v>0.93969763448532162</v>
      </c>
      <c r="I21">
        <f t="shared" si="39"/>
        <v>0.94012749981301413</v>
      </c>
      <c r="K21">
        <f t="shared" si="40"/>
        <v>-7.6802353832407817E-3</v>
      </c>
      <c r="L21">
        <f t="shared" si="41"/>
        <v>4.3842401294895946E-3</v>
      </c>
      <c r="M21">
        <f t="shared" si="48"/>
        <v>445550240.4947651</v>
      </c>
      <c r="N21">
        <f t="shared" si="49"/>
        <v>306586.07131188188</v>
      </c>
      <c r="O21">
        <f t="shared" si="50"/>
        <v>553.70215035873025</v>
      </c>
      <c r="Q21" s="2">
        <f t="shared" si="42"/>
        <v>1.6796262171614424</v>
      </c>
      <c r="R21" s="2">
        <f t="shared" si="2"/>
        <v>2.6917086813484654E-2</v>
      </c>
      <c r="W21" s="2">
        <f t="shared" si="3"/>
        <v>143715.23809443437</v>
      </c>
      <c r="X21" s="2">
        <f t="shared" si="43"/>
        <v>1175.8754300000001</v>
      </c>
      <c r="Y21" s="2">
        <f t="shared" si="4"/>
        <v>122.21978147330995</v>
      </c>
      <c r="Z21" s="2">
        <f t="shared" si="44"/>
        <v>5.2711123277814567</v>
      </c>
      <c r="AA21" s="2">
        <f t="shared" si="5"/>
        <v>1.2747046183014041</v>
      </c>
      <c r="AB21" s="2">
        <f t="shared" si="6"/>
        <v>1.053965342246703</v>
      </c>
      <c r="AC21" s="2">
        <f t="shared" si="7"/>
        <v>1.2881541380983439E-2</v>
      </c>
      <c r="AD21" s="2">
        <f t="shared" si="8"/>
        <v>3495646.1352756084</v>
      </c>
      <c r="AI21">
        <f t="shared" si="9"/>
        <v>1.443281100191287E-6</v>
      </c>
      <c r="AK21">
        <f t="shared" si="10"/>
        <v>7.7706202805131254E-6</v>
      </c>
      <c r="AL21">
        <f t="shared" si="11"/>
        <v>-3.9922497882848256</v>
      </c>
      <c r="AM21">
        <f t="shared" si="12"/>
        <v>15.102492283117506</v>
      </c>
      <c r="AN21">
        <f t="shared" si="13"/>
        <v>228.08527316162383</v>
      </c>
      <c r="AO21">
        <f t="shared" si="14"/>
        <v>4.3843251523362865E-3</v>
      </c>
      <c r="AQ21" s="3">
        <f t="shared" si="45"/>
        <v>144.00000000000006</v>
      </c>
      <c r="AR21" s="3">
        <f t="shared" si="15"/>
        <v>604</v>
      </c>
      <c r="AS21">
        <f t="shared" si="51"/>
        <v>543.21979490287595</v>
      </c>
      <c r="AV21" s="3">
        <f t="shared" si="16"/>
        <v>1.6106666666666667</v>
      </c>
      <c r="AW21" s="3">
        <f t="shared" si="17"/>
        <v>0.80956750358103713</v>
      </c>
      <c r="AX21" s="4">
        <v>0.8</v>
      </c>
      <c r="AY21" s="5">
        <f t="shared" si="18"/>
        <v>0.16963723041717718</v>
      </c>
      <c r="AZ21" s="5">
        <f t="shared" si="19"/>
        <v>-7.9395104968117552E-2</v>
      </c>
      <c r="BA21" s="5">
        <f t="shared" si="20"/>
        <v>4.64931125748521E-3</v>
      </c>
      <c r="BB21" s="5">
        <f t="shared" si="21"/>
        <v>-5.7251170942374174E-6</v>
      </c>
      <c r="BC21" s="5">
        <f t="shared" si="22"/>
        <v>4.3120885554936124E-3</v>
      </c>
      <c r="BD21" s="5">
        <f t="shared" si="23"/>
        <v>0.97946569463996858</v>
      </c>
      <c r="BE21" s="6">
        <f t="shared" si="24"/>
        <v>0.92948347421881761</v>
      </c>
      <c r="BF21" s="7">
        <f t="shared" si="25"/>
        <v>0.12948347421881756</v>
      </c>
      <c r="BG21" s="5">
        <v>0.85</v>
      </c>
      <c r="BH21" s="5">
        <f t="shared" si="26"/>
        <v>0.15965856980440205</v>
      </c>
      <c r="BI21" s="5">
        <f t="shared" si="27"/>
        <v>-7.4724804675875334E-2</v>
      </c>
      <c r="BJ21" s="5">
        <f t="shared" si="28"/>
        <v>4.1184210446927804E-3</v>
      </c>
      <c r="BK21" s="5">
        <f t="shared" si="29"/>
        <v>-4.2280457695437574E-6</v>
      </c>
      <c r="BL21" s="5">
        <f t="shared" si="30"/>
        <v>3.8108392064430531E-3</v>
      </c>
      <c r="BM21" s="5">
        <f t="shared" si="31"/>
        <v>0.9817889529296886</v>
      </c>
      <c r="BN21" s="8">
        <f t="shared" si="32"/>
        <v>0.93313928424886405</v>
      </c>
      <c r="BO21" s="9">
        <f t="shared" si="33"/>
        <v>8.3139284248864076E-2</v>
      </c>
      <c r="BP21" s="10">
        <f t="shared" si="34"/>
        <v>-0.92688379939907095</v>
      </c>
      <c r="BQ21" s="10">
        <f t="shared" si="35"/>
        <v>0.93969763448532162</v>
      </c>
    </row>
    <row r="22" spans="2:69">
      <c r="B22">
        <f t="shared" si="36"/>
        <v>1200</v>
      </c>
      <c r="C22">
        <f t="shared" si="46"/>
        <v>144.80000000000007</v>
      </c>
      <c r="D22">
        <f t="shared" si="0"/>
        <v>604.80000000000007</v>
      </c>
      <c r="E22">
        <f t="shared" si="37"/>
        <v>604.40000000000009</v>
      </c>
      <c r="F22">
        <f t="shared" si="47"/>
        <v>553.70215035873025</v>
      </c>
      <c r="G22">
        <f t="shared" si="38"/>
        <v>548.4609726308031</v>
      </c>
      <c r="H22">
        <f t="shared" si="1"/>
        <v>0.93886354347613943</v>
      </c>
      <c r="I22">
        <f t="shared" si="39"/>
        <v>0.93928058898073052</v>
      </c>
      <c r="K22">
        <f t="shared" si="40"/>
        <v>-7.6769854059326285E-3</v>
      </c>
      <c r="L22">
        <f t="shared" si="41"/>
        <v>4.3843251523362865E-3</v>
      </c>
      <c r="M22">
        <f t="shared" si="48"/>
        <v>445936206.88998699</v>
      </c>
      <c r="N22">
        <f t="shared" si="49"/>
        <v>318176.11131323117</v>
      </c>
      <c r="O22">
        <f t="shared" si="50"/>
        <v>564.07101619674734</v>
      </c>
      <c r="Q22" s="2">
        <f t="shared" si="42"/>
        <v>1.7112918498909746</v>
      </c>
      <c r="R22" s="2">
        <f t="shared" si="2"/>
        <v>2.7424548876457927E-2</v>
      </c>
      <c r="W22" s="2">
        <f t="shared" si="3"/>
        <v>144000.85958202751</v>
      </c>
      <c r="X22" s="2">
        <f t="shared" si="43"/>
        <v>1176.6754300000002</v>
      </c>
      <c r="Y22" s="2">
        <f t="shared" si="4"/>
        <v>122.37942249038673</v>
      </c>
      <c r="Z22" s="2">
        <f t="shared" si="44"/>
        <v>5.2689521259523806</v>
      </c>
      <c r="AA22" s="2">
        <f t="shared" si="5"/>
        <v>1.2751850471881907</v>
      </c>
      <c r="AB22" s="2">
        <f t="shared" si="6"/>
        <v>1.055179591494696</v>
      </c>
      <c r="AC22" s="2">
        <f t="shared" si="7"/>
        <v>1.2913226903076308E-2</v>
      </c>
      <c r="AD22" s="2">
        <f t="shared" si="8"/>
        <v>3487068.7770614708</v>
      </c>
      <c r="AI22">
        <f t="shared" si="9"/>
        <v>1.4468312277601695E-6</v>
      </c>
      <c r="AK22">
        <f t="shared" si="10"/>
        <v>7.7877843014637674E-6</v>
      </c>
      <c r="AL22">
        <f t="shared" si="11"/>
        <v>-3.992176570509979</v>
      </c>
      <c r="AM22">
        <f t="shared" si="12"/>
        <v>15.102346518350529</v>
      </c>
      <c r="AN22">
        <f t="shared" si="13"/>
        <v>228.08087036033436</v>
      </c>
      <c r="AO22">
        <f t="shared" si="14"/>
        <v>4.3844097859682251E-3</v>
      </c>
      <c r="AQ22" s="3">
        <f t="shared" si="45"/>
        <v>144.80000000000007</v>
      </c>
      <c r="AR22" s="3">
        <f t="shared" si="15"/>
        <v>604.80000000000007</v>
      </c>
      <c r="AS22">
        <f t="shared" si="51"/>
        <v>553.70215035873025</v>
      </c>
      <c r="AV22" s="3">
        <f t="shared" si="16"/>
        <v>1.6128000000000002</v>
      </c>
      <c r="AW22" s="3">
        <f t="shared" si="17"/>
        <v>0.82518949382821205</v>
      </c>
      <c r="AX22" s="4">
        <v>0.8</v>
      </c>
      <c r="AY22" s="5">
        <f t="shared" si="18"/>
        <v>0.17268195322855995</v>
      </c>
      <c r="AZ22" s="5">
        <f t="shared" si="19"/>
        <v>-8.0577639269081805E-2</v>
      </c>
      <c r="BA22" s="5">
        <f t="shared" si="20"/>
        <v>4.8301273354402182E-3</v>
      </c>
      <c r="BB22" s="5">
        <f t="shared" si="21"/>
        <v>-6.2509239458219435E-6</v>
      </c>
      <c r="BC22" s="5">
        <f t="shared" si="22"/>
        <v>4.4538368841286263E-3</v>
      </c>
      <c r="BD22" s="5">
        <f t="shared" si="23"/>
        <v>0.97872992761045785</v>
      </c>
      <c r="BE22" s="6">
        <f t="shared" si="24"/>
        <v>0.92861784244149614</v>
      </c>
      <c r="BF22" s="7">
        <f t="shared" si="25"/>
        <v>0.1286178424414961</v>
      </c>
      <c r="BG22" s="5">
        <v>0.85</v>
      </c>
      <c r="BH22" s="5">
        <f t="shared" si="26"/>
        <v>0.16252419127393883</v>
      </c>
      <c r="BI22" s="5">
        <f t="shared" si="27"/>
        <v>-7.5837778135606423E-2</v>
      </c>
      <c r="BJ22" s="5">
        <f t="shared" si="28"/>
        <v>4.2785903040577743E-3</v>
      </c>
      <c r="BK22" s="5">
        <f t="shared" si="29"/>
        <v>-4.6163584272318986E-6</v>
      </c>
      <c r="BL22" s="5">
        <f t="shared" si="30"/>
        <v>3.935785633227766E-3</v>
      </c>
      <c r="BM22" s="5">
        <f t="shared" si="31"/>
        <v>0.98113562686079181</v>
      </c>
      <c r="BN22" s="8">
        <f t="shared" si="32"/>
        <v>0.93230696803132518</v>
      </c>
      <c r="BO22" s="9">
        <f t="shared" si="33"/>
        <v>8.2306968031325201E-2</v>
      </c>
      <c r="BP22" s="10">
        <f t="shared" si="34"/>
        <v>-0.9262174882034192</v>
      </c>
      <c r="BQ22" s="10">
        <f t="shared" si="35"/>
        <v>0.93886354347613943</v>
      </c>
    </row>
    <row r="23" spans="2:69">
      <c r="B23">
        <f t="shared" si="36"/>
        <v>1400</v>
      </c>
      <c r="C23">
        <f t="shared" si="46"/>
        <v>145.60000000000008</v>
      </c>
      <c r="D23">
        <f t="shared" si="0"/>
        <v>605.60000000000014</v>
      </c>
      <c r="E23">
        <f t="shared" si="37"/>
        <v>605.20000000000005</v>
      </c>
      <c r="F23">
        <f t="shared" si="47"/>
        <v>564.07101619674734</v>
      </c>
      <c r="G23">
        <f t="shared" si="38"/>
        <v>558.88658327773874</v>
      </c>
      <c r="H23">
        <f t="shared" si="1"/>
        <v>0.93805399092090813</v>
      </c>
      <c r="I23">
        <f t="shared" si="39"/>
        <v>0.93845876719852384</v>
      </c>
      <c r="K23">
        <f t="shared" si="40"/>
        <v>-7.6735513342797634E-3</v>
      </c>
      <c r="L23">
        <f t="shared" si="41"/>
        <v>4.3844097859682251E-3</v>
      </c>
      <c r="M23">
        <f t="shared" si="48"/>
        <v>446344043.32105315</v>
      </c>
      <c r="N23">
        <f t="shared" si="49"/>
        <v>329858.66098325024</v>
      </c>
      <c r="O23">
        <f t="shared" si="50"/>
        <v>574.33323165497768</v>
      </c>
      <c r="Q23" s="2">
        <f t="shared" si="42"/>
        <v>1.7425378198038122</v>
      </c>
      <c r="R23" s="2">
        <f t="shared" si="2"/>
        <v>2.7925285573779043E-2</v>
      </c>
      <c r="W23" s="2">
        <f t="shared" si="3"/>
        <v>144286.67003524394</v>
      </c>
      <c r="X23" s="2">
        <f t="shared" si="43"/>
        <v>1177.4754300000002</v>
      </c>
      <c r="Y23" s="2">
        <f t="shared" si="4"/>
        <v>122.53900706466878</v>
      </c>
      <c r="Z23" s="2">
        <f t="shared" si="44"/>
        <v>5.2667976313936586</v>
      </c>
      <c r="AA23" s="2">
        <f t="shared" si="5"/>
        <v>1.2756642067780504</v>
      </c>
      <c r="AB23" s="2">
        <f t="shared" si="6"/>
        <v>1.0563801162442978</v>
      </c>
      <c r="AC23" s="2">
        <f t="shared" si="7"/>
        <v>1.2944777052743564E-2</v>
      </c>
      <c r="AD23" s="2">
        <f t="shared" si="8"/>
        <v>3478569.7862045378</v>
      </c>
      <c r="AI23">
        <f t="shared" si="9"/>
        <v>1.4503661878535462E-6</v>
      </c>
      <c r="AK23">
        <f t="shared" si="10"/>
        <v>7.8048707276593946E-6</v>
      </c>
      <c r="AL23">
        <f t="shared" si="11"/>
        <v>-3.9921036959947087</v>
      </c>
      <c r="AM23">
        <f t="shared" si="12"/>
        <v>15.102201393391203</v>
      </c>
      <c r="AN23">
        <f t="shared" si="13"/>
        <v>228.0764869265472</v>
      </c>
      <c r="AO23">
        <f t="shared" si="14"/>
        <v>4.3844940505509159E-3</v>
      </c>
      <c r="AQ23" s="3">
        <f t="shared" si="45"/>
        <v>145.60000000000008</v>
      </c>
      <c r="AR23" s="3">
        <f t="shared" si="15"/>
        <v>605.60000000000014</v>
      </c>
      <c r="AS23">
        <f t="shared" si="51"/>
        <v>564.07101619674734</v>
      </c>
      <c r="AV23" s="3">
        <f t="shared" si="16"/>
        <v>1.6149333333333338</v>
      </c>
      <c r="AW23" s="3">
        <f t="shared" si="17"/>
        <v>0.84064234902644908</v>
      </c>
      <c r="AX23" s="4">
        <v>0.8</v>
      </c>
      <c r="AY23" s="5">
        <f t="shared" si="18"/>
        <v>0.17568328483926671</v>
      </c>
      <c r="AZ23" s="5">
        <f t="shared" si="19"/>
        <v>-8.1732342886169998E-2</v>
      </c>
      <c r="BA23" s="5">
        <f t="shared" si="20"/>
        <v>5.0123202108697624E-3</v>
      </c>
      <c r="BB23" s="5">
        <f t="shared" si="21"/>
        <v>-6.8060176222595795E-6</v>
      </c>
      <c r="BC23" s="5">
        <f t="shared" si="22"/>
        <v>4.595147118195155E-3</v>
      </c>
      <c r="BD23" s="5">
        <f t="shared" si="23"/>
        <v>0.97799239157978701</v>
      </c>
      <c r="BE23" s="6">
        <f t="shared" si="24"/>
        <v>0.92778080226210657</v>
      </c>
      <c r="BF23" s="7">
        <f t="shared" si="25"/>
        <v>0.12778080226210653</v>
      </c>
      <c r="BG23" s="5">
        <v>0.85</v>
      </c>
      <c r="BH23" s="5">
        <f t="shared" si="26"/>
        <v>0.16534897396636869</v>
      </c>
      <c r="BI23" s="5">
        <f t="shared" si="27"/>
        <v>-7.6924558010512956E-2</v>
      </c>
      <c r="BJ23" s="5">
        <f t="shared" si="28"/>
        <v>4.439979148728926E-3</v>
      </c>
      <c r="BK23" s="5">
        <f t="shared" si="29"/>
        <v>-5.0262996444560726E-6</v>
      </c>
      <c r="BL23" s="5">
        <f t="shared" si="30"/>
        <v>4.0603237249411082E-3</v>
      </c>
      <c r="BM23" s="5">
        <f t="shared" si="31"/>
        <v>0.98048067371625969</v>
      </c>
      <c r="BN23" s="8">
        <f t="shared" si="32"/>
        <v>0.93150151637919687</v>
      </c>
      <c r="BO23" s="9">
        <f t="shared" si="33"/>
        <v>8.1501516379196892E-2</v>
      </c>
      <c r="BP23" s="10">
        <f t="shared" si="34"/>
        <v>-0.92558571765819397</v>
      </c>
      <c r="BQ23" s="10">
        <f t="shared" si="35"/>
        <v>0.93805399092090813</v>
      </c>
    </row>
    <row r="24" spans="2:69">
      <c r="B24">
        <f t="shared" si="36"/>
        <v>1600</v>
      </c>
      <c r="C24">
        <f t="shared" si="46"/>
        <v>146.40000000000009</v>
      </c>
      <c r="D24">
        <f t="shared" si="0"/>
        <v>606.40000000000009</v>
      </c>
      <c r="E24">
        <f t="shared" si="37"/>
        <v>606.00000000000011</v>
      </c>
      <c r="F24">
        <f t="shared" si="47"/>
        <v>574.33323165497768</v>
      </c>
      <c r="G24">
        <f t="shared" si="38"/>
        <v>569.20212392586245</v>
      </c>
      <c r="H24">
        <f t="shared" si="1"/>
        <v>0.93726796136471424</v>
      </c>
      <c r="I24">
        <f t="shared" si="39"/>
        <v>0.93766097614281119</v>
      </c>
      <c r="K24">
        <f t="shared" si="40"/>
        <v>-7.6699415101028632E-3</v>
      </c>
      <c r="L24">
        <f t="shared" si="41"/>
        <v>4.3844940505509159E-3</v>
      </c>
      <c r="M24">
        <f t="shared" si="48"/>
        <v>446772868.3291713</v>
      </c>
      <c r="N24">
        <f t="shared" si="49"/>
        <v>341634.50786705059</v>
      </c>
      <c r="O24">
        <f t="shared" si="50"/>
        <v>584.49508797512624</v>
      </c>
      <c r="Q24" s="2">
        <f t="shared" si="42"/>
        <v>1.7733853291254469</v>
      </c>
      <c r="R24" s="2">
        <f t="shared" si="2"/>
        <v>2.8419636684702675E-2</v>
      </c>
      <c r="W24" s="2">
        <f t="shared" si="3"/>
        <v>144572.66932922983</v>
      </c>
      <c r="X24" s="2">
        <f t="shared" si="43"/>
        <v>1178.2754300000001</v>
      </c>
      <c r="Y24" s="2">
        <f t="shared" si="4"/>
        <v>122.69853520515981</v>
      </c>
      <c r="Z24" s="2">
        <f t="shared" si="44"/>
        <v>5.2646488215171496</v>
      </c>
      <c r="AA24" s="2">
        <f t="shared" si="5"/>
        <v>1.276142102094586</v>
      </c>
      <c r="AB24" s="2">
        <f t="shared" si="6"/>
        <v>1.0575675358911016</v>
      </c>
      <c r="AC24" s="2">
        <f t="shared" si="7"/>
        <v>1.2976198753436845E-2</v>
      </c>
      <c r="AD24" s="2">
        <f t="shared" si="8"/>
        <v>3470146.473588903</v>
      </c>
      <c r="AI24">
        <f t="shared" si="9"/>
        <v>1.4538867561927845E-6</v>
      </c>
      <c r="AK24">
        <f t="shared" si="10"/>
        <v>7.8218833733161806E-6</v>
      </c>
      <c r="AL24">
        <f t="shared" si="11"/>
        <v>-3.9920311483045596</v>
      </c>
      <c r="AM24">
        <f t="shared" si="12"/>
        <v>15.102056876173922</v>
      </c>
      <c r="AN24">
        <f t="shared" si="13"/>
        <v>228.07212189119204</v>
      </c>
      <c r="AO24">
        <f t="shared" si="14"/>
        <v>4.3845779646715308E-3</v>
      </c>
      <c r="AQ24" s="3">
        <f t="shared" si="45"/>
        <v>146.40000000000009</v>
      </c>
      <c r="AR24" s="3">
        <f t="shared" si="15"/>
        <v>606.40000000000009</v>
      </c>
      <c r="AS24">
        <f t="shared" si="51"/>
        <v>574.33323165497768</v>
      </c>
      <c r="AV24" s="3">
        <f t="shared" si="16"/>
        <v>1.6170666666666669</v>
      </c>
      <c r="AW24" s="3">
        <f t="shared" si="17"/>
        <v>0.85593626178089077</v>
      </c>
      <c r="AX24" s="4">
        <v>0.8</v>
      </c>
      <c r="AY24" s="5">
        <f t="shared" si="18"/>
        <v>0.17864352429360814</v>
      </c>
      <c r="AZ24" s="5">
        <f t="shared" si="19"/>
        <v>-8.2860505699121206E-2</v>
      </c>
      <c r="BA24" s="5">
        <f t="shared" si="20"/>
        <v>5.195897908149877E-3</v>
      </c>
      <c r="BB24" s="5">
        <f t="shared" si="21"/>
        <v>-7.3911003447024917E-6</v>
      </c>
      <c r="BC24" s="5">
        <f t="shared" si="22"/>
        <v>4.7360281920287078E-3</v>
      </c>
      <c r="BD24" s="5">
        <f t="shared" si="23"/>
        <v>0.97725306317971128</v>
      </c>
      <c r="BE24" s="6">
        <f t="shared" si="24"/>
        <v>0.92697108136733897</v>
      </c>
      <c r="BF24" s="7">
        <f t="shared" si="25"/>
        <v>0.12697108136733892</v>
      </c>
      <c r="BG24" s="5">
        <v>0.85</v>
      </c>
      <c r="BH24" s="5">
        <f t="shared" si="26"/>
        <v>0.16813508168810179</v>
      </c>
      <c r="BI24" s="5">
        <f t="shared" si="27"/>
        <v>-7.7986358305055251E-2</v>
      </c>
      <c r="BJ24" s="5">
        <f t="shared" si="28"/>
        <v>4.602594686804044E-3</v>
      </c>
      <c r="BK24" s="5">
        <f t="shared" si="29"/>
        <v>-5.4583880172769249E-6</v>
      </c>
      <c r="BL24" s="5">
        <f t="shared" si="30"/>
        <v>4.1844614098854316E-3</v>
      </c>
      <c r="BM24" s="5">
        <f t="shared" si="31"/>
        <v>0.97982407228870749</v>
      </c>
      <c r="BN24" s="8">
        <f t="shared" si="32"/>
        <v>0.93072173078873488</v>
      </c>
      <c r="BO24" s="9">
        <f t="shared" si="33"/>
        <v>8.0721730788734902E-2</v>
      </c>
      <c r="BP24" s="10">
        <f t="shared" si="34"/>
        <v>-0.92498701157208163</v>
      </c>
      <c r="BQ24" s="10">
        <f t="shared" si="35"/>
        <v>0.93726796136471424</v>
      </c>
    </row>
    <row r="25" spans="2:69">
      <c r="B25">
        <f t="shared" si="36"/>
        <v>1800</v>
      </c>
      <c r="C25">
        <f t="shared" si="46"/>
        <v>147.2000000000001</v>
      </c>
      <c r="D25">
        <f t="shared" si="0"/>
        <v>607.20000000000005</v>
      </c>
      <c r="E25">
        <f t="shared" si="37"/>
        <v>606.80000000000007</v>
      </c>
      <c r="F25">
        <f t="shared" si="47"/>
        <v>584.49508797512624</v>
      </c>
      <c r="G25">
        <f t="shared" si="38"/>
        <v>579.41415981505202</v>
      </c>
      <c r="H25">
        <f t="shared" si="1"/>
        <v>0.93650451583109751</v>
      </c>
      <c r="I25">
        <f t="shared" si="39"/>
        <v>0.93688623859790587</v>
      </c>
      <c r="K25">
        <f t="shared" si="40"/>
        <v>-7.6661636521066856E-3</v>
      </c>
      <c r="L25">
        <f t="shared" si="41"/>
        <v>4.3845779646715308E-3</v>
      </c>
      <c r="M25">
        <f t="shared" si="48"/>
        <v>447221872.10963029</v>
      </c>
      <c r="N25">
        <f t="shared" si="49"/>
        <v>353504.43239474494</v>
      </c>
      <c r="O25">
        <f t="shared" si="50"/>
        <v>594.5623873024133</v>
      </c>
      <c r="Q25" s="2">
        <f t="shared" si="42"/>
        <v>1.8038538881850228</v>
      </c>
      <c r="R25" s="2">
        <f t="shared" si="2"/>
        <v>2.890791487475998E-2</v>
      </c>
      <c r="W25" s="2">
        <f t="shared" si="3"/>
        <v>144858.85733937964</v>
      </c>
      <c r="X25" s="2">
        <f t="shared" si="43"/>
        <v>1179.0754300000001</v>
      </c>
      <c r="Y25" s="2">
        <f t="shared" si="4"/>
        <v>122.85800692104968</v>
      </c>
      <c r="Z25" s="2">
        <f t="shared" si="44"/>
        <v>5.2625056738537541</v>
      </c>
      <c r="AA25" s="2">
        <f t="shared" si="5"/>
        <v>1.2766187381349252</v>
      </c>
      <c r="AB25" s="2">
        <f t="shared" si="6"/>
        <v>1.0587424237864798</v>
      </c>
      <c r="AC25" s="2">
        <f t="shared" si="7"/>
        <v>1.3007498402916824E-2</v>
      </c>
      <c r="AD25" s="2">
        <f t="shared" si="8"/>
        <v>3461796.338543477</v>
      </c>
      <c r="AI25">
        <f t="shared" si="9"/>
        <v>1.4573936495994816E-6</v>
      </c>
      <c r="AK25">
        <f t="shared" si="10"/>
        <v>7.8388257638672057E-6</v>
      </c>
      <c r="AL25">
        <f t="shared" si="11"/>
        <v>-3.9919589122479242</v>
      </c>
      <c r="AM25">
        <f t="shared" si="12"/>
        <v>15.101912937066343</v>
      </c>
      <c r="AN25">
        <f t="shared" si="13"/>
        <v>228.06777435873178</v>
      </c>
      <c r="AO25">
        <f t="shared" si="14"/>
        <v>4.3846615455065676E-3</v>
      </c>
      <c r="AQ25" s="3">
        <f t="shared" si="45"/>
        <v>147.2000000000001</v>
      </c>
      <c r="AR25" s="3">
        <f t="shared" si="15"/>
        <v>607.20000000000005</v>
      </c>
      <c r="AS25">
        <f t="shared" si="51"/>
        <v>584.49508797512624</v>
      </c>
      <c r="AV25" s="3">
        <f t="shared" si="16"/>
        <v>1.6192000000000002</v>
      </c>
      <c r="AW25" s="3">
        <f t="shared" si="17"/>
        <v>0.87108060801062037</v>
      </c>
      <c r="AX25" s="4">
        <v>0.8</v>
      </c>
      <c r="AY25" s="5">
        <f t="shared" si="18"/>
        <v>0.18156478829272749</v>
      </c>
      <c r="AZ25" s="5">
        <f t="shared" si="19"/>
        <v>-8.3963318854648542E-2</v>
      </c>
      <c r="BA25" s="5">
        <f t="shared" si="20"/>
        <v>5.3808683071308898E-3</v>
      </c>
      <c r="BB25" s="5">
        <f t="shared" si="21"/>
        <v>-8.0068769618890942E-6</v>
      </c>
      <c r="BC25" s="5">
        <f t="shared" si="22"/>
        <v>4.8764887713442359E-3</v>
      </c>
      <c r="BD25" s="5">
        <f t="shared" si="23"/>
        <v>0.9765119200155421</v>
      </c>
      <c r="BE25" s="6">
        <f t="shared" si="24"/>
        <v>0.92618750574248387</v>
      </c>
      <c r="BF25" s="7">
        <f t="shared" si="25"/>
        <v>0.12618750574248383</v>
      </c>
      <c r="BG25" s="5">
        <v>0.85</v>
      </c>
      <c r="BH25" s="5">
        <f t="shared" si="26"/>
        <v>0.17088450662844942</v>
      </c>
      <c r="BI25" s="5">
        <f t="shared" si="27"/>
        <v>-7.9024300098492747E-2</v>
      </c>
      <c r="BJ25" s="5">
        <f t="shared" si="28"/>
        <v>4.76644389835816E-3</v>
      </c>
      <c r="BK25" s="5">
        <f t="shared" si="29"/>
        <v>-5.9131440822490046E-6</v>
      </c>
      <c r="BL25" s="5">
        <f t="shared" si="30"/>
        <v>4.3082063761223635E-3</v>
      </c>
      <c r="BM25" s="5">
        <f t="shared" si="31"/>
        <v>0.9791658022265588</v>
      </c>
      <c r="BN25" s="8">
        <f t="shared" si="32"/>
        <v>0.92996650529638114</v>
      </c>
      <c r="BO25" s="9">
        <f t="shared" si="33"/>
        <v>7.9966505296381163E-2</v>
      </c>
      <c r="BP25" s="10">
        <f t="shared" si="34"/>
        <v>-0.92442000892205456</v>
      </c>
      <c r="BQ25" s="10">
        <f t="shared" si="35"/>
        <v>0.93650451583109751</v>
      </c>
    </row>
    <row r="26" spans="2:69">
      <c r="B26">
        <f t="shared" si="36"/>
        <v>2000</v>
      </c>
      <c r="C26">
        <f t="shared" si="46"/>
        <v>148.00000000000011</v>
      </c>
      <c r="D26">
        <f t="shared" si="0"/>
        <v>608.00000000000011</v>
      </c>
      <c r="E26">
        <f t="shared" si="37"/>
        <v>607.60000000000014</v>
      </c>
      <c r="F26">
        <f t="shared" si="47"/>
        <v>594.5623873024133</v>
      </c>
      <c r="G26">
        <f t="shared" si="38"/>
        <v>589.52873763876983</v>
      </c>
      <c r="H26">
        <f t="shared" si="1"/>
        <v>0.93576278381870104</v>
      </c>
      <c r="I26">
        <f t="shared" si="39"/>
        <v>0.93613364982489933</v>
      </c>
      <c r="K26">
        <f t="shared" si="40"/>
        <v>-7.6622249216883502E-3</v>
      </c>
      <c r="L26">
        <f t="shared" si="41"/>
        <v>4.3846615455065676E-3</v>
      </c>
      <c r="M26">
        <f t="shared" si="48"/>
        <v>447690308.76883185</v>
      </c>
      <c r="N26">
        <f t="shared" si="49"/>
        <v>365469.20854547876</v>
      </c>
      <c r="O26">
        <f t="shared" si="50"/>
        <v>604.54049371855876</v>
      </c>
      <c r="Q26" s="2">
        <f t="shared" si="42"/>
        <v>1.8339614962736071</v>
      </c>
      <c r="R26" s="2">
        <f t="shared" si="2"/>
        <v>2.9390408594128319E-2</v>
      </c>
      <c r="W26" s="2">
        <f t="shared" si="3"/>
        <v>145145.23394133284</v>
      </c>
      <c r="X26" s="2">
        <f t="shared" si="43"/>
        <v>1179.8754300000001</v>
      </c>
      <c r="Y26" s="2">
        <f t="shared" si="4"/>
        <v>123.01742222171102</v>
      </c>
      <c r="Z26" s="2">
        <f t="shared" si="44"/>
        <v>5.2603681660526309</v>
      </c>
      <c r="AA26" s="2">
        <f t="shared" si="5"/>
        <v>1.2770941198698951</v>
      </c>
      <c r="AB26" s="2">
        <f t="shared" si="6"/>
        <v>1.0599053119411828</v>
      </c>
      <c r="AC26" s="2">
        <f t="shared" si="7"/>
        <v>1.303868192741028E-2</v>
      </c>
      <c r="AD26" s="2">
        <f t="shared" si="8"/>
        <v>3453517.0499224863</v>
      </c>
      <c r="AI26">
        <f t="shared" si="9"/>
        <v>1.460887532063361E-6</v>
      </c>
      <c r="AK26">
        <f t="shared" si="10"/>
        <v>7.8557011656808484E-6</v>
      </c>
      <c r="AL26">
        <f t="shared" si="11"/>
        <v>-3.9918869737482217</v>
      </c>
      <c r="AM26">
        <f t="shared" si="12"/>
        <v>15.101769548618819</v>
      </c>
      <c r="AN26">
        <f t="shared" si="13"/>
        <v>228.06344349959065</v>
      </c>
      <c r="AO26">
        <f t="shared" si="14"/>
        <v>4.3847448089671366E-3</v>
      </c>
      <c r="AQ26" s="3">
        <f t="shared" si="45"/>
        <v>148.00000000000011</v>
      </c>
      <c r="AR26" s="3">
        <f t="shared" si="15"/>
        <v>608.00000000000011</v>
      </c>
      <c r="AS26">
        <f t="shared" si="51"/>
        <v>594.5623873024133</v>
      </c>
      <c r="AV26" s="3">
        <f t="shared" si="16"/>
        <v>1.6213333333333337</v>
      </c>
      <c r="AW26" s="3">
        <f t="shared" si="17"/>
        <v>0.88608403472788866</v>
      </c>
      <c r="AX26" s="4">
        <v>0.8</v>
      </c>
      <c r="AY26" s="5">
        <f t="shared" si="18"/>
        <v>0.18444903066652696</v>
      </c>
      <c r="AZ26" s="5">
        <f t="shared" si="19"/>
        <v>-8.5041885137392789E-2</v>
      </c>
      <c r="BA26" s="5">
        <f t="shared" si="20"/>
        <v>5.567239154448309E-3</v>
      </c>
      <c r="BB26" s="5">
        <f t="shared" si="21"/>
        <v>-8.6540552588044738E-6</v>
      </c>
      <c r="BC26" s="5">
        <f t="shared" si="22"/>
        <v>5.0165372696662144E-3</v>
      </c>
      <c r="BD26" s="5">
        <f t="shared" si="23"/>
        <v>0.97576894060226638</v>
      </c>
      <c r="BE26" s="6">
        <f t="shared" si="24"/>
        <v>0.92542898932942841</v>
      </c>
      <c r="BF26" s="7">
        <f t="shared" si="25"/>
        <v>0.12542898932942836</v>
      </c>
      <c r="BG26" s="5">
        <v>0.85</v>
      </c>
      <c r="BH26" s="5">
        <f t="shared" si="26"/>
        <v>0.17359908768614302</v>
      </c>
      <c r="BI26" s="5">
        <f t="shared" si="27"/>
        <v>-8.0039421305781441E-2</v>
      </c>
      <c r="BJ26" s="5">
        <f t="shared" si="28"/>
        <v>4.9315336454628612E-3</v>
      </c>
      <c r="BK26" s="5">
        <f t="shared" si="29"/>
        <v>-6.3910905443690168E-6</v>
      </c>
      <c r="BL26" s="5">
        <f t="shared" si="30"/>
        <v>4.4315660861215488E-3</v>
      </c>
      <c r="BM26" s="5">
        <f t="shared" si="31"/>
        <v>0.9785058439776102</v>
      </c>
      <c r="BN26" s="8">
        <f t="shared" si="32"/>
        <v>0.92923481674346864</v>
      </c>
      <c r="BO26" s="9">
        <f t="shared" si="33"/>
        <v>7.9234816743468661E-2</v>
      </c>
      <c r="BP26" s="10">
        <f t="shared" si="34"/>
        <v>-0.92388345171919528</v>
      </c>
      <c r="BQ26" s="10">
        <f t="shared" si="35"/>
        <v>0.93576278381870104</v>
      </c>
    </row>
    <row r="27" spans="2:69" ht="18">
      <c r="B27">
        <f t="shared" si="36"/>
        <v>2200</v>
      </c>
      <c r="C27">
        <f t="shared" si="46"/>
        <v>148.80000000000013</v>
      </c>
      <c r="D27">
        <f t="shared" si="0"/>
        <v>608.80000000000018</v>
      </c>
      <c r="E27">
        <f t="shared" si="37"/>
        <v>608.40000000000009</v>
      </c>
      <c r="F27">
        <f t="shared" si="47"/>
        <v>604.54049371855876</v>
      </c>
      <c r="G27">
        <f t="shared" si="38"/>
        <v>599.55144051048603</v>
      </c>
      <c r="H27">
        <f t="shared" si="1"/>
        <v>0.93504195635080756</v>
      </c>
      <c r="I27">
        <f t="shared" si="39"/>
        <v>0.93540237008475424</v>
      </c>
      <c r="K27">
        <f t="shared" si="40"/>
        <v>-7.6581319799762636E-3</v>
      </c>
      <c r="L27">
        <f t="shared" si="41"/>
        <v>4.3847448089671366E-3</v>
      </c>
      <c r="M27">
        <f t="shared" si="48"/>
        <v>448177489.62543797</v>
      </c>
      <c r="N27">
        <f t="shared" si="49"/>
        <v>377529.60444151744</v>
      </c>
      <c r="O27">
        <f t="shared" si="50"/>
        <v>614.43437765274609</v>
      </c>
      <c r="P27" s="1"/>
      <c r="Q27" s="2">
        <f t="shared" si="42"/>
        <v>1.8637247984281657</v>
      </c>
      <c r="R27" s="2">
        <f t="shared" si="2"/>
        <v>2.9867384590194966E-2</v>
      </c>
      <c r="S27" s="1"/>
      <c r="T27" s="1"/>
      <c r="U27" s="1"/>
      <c r="V27" s="1"/>
      <c r="W27" s="2">
        <f t="shared" si="3"/>
        <v>145431.79901097534</v>
      </c>
      <c r="X27" s="2">
        <f t="shared" si="43"/>
        <v>1180.6754300000002</v>
      </c>
      <c r="Y27" s="2">
        <f t="shared" si="4"/>
        <v>123.17678111669971</v>
      </c>
      <c r="Z27" s="2">
        <f t="shared" si="44"/>
        <v>5.25823627588042</v>
      </c>
      <c r="AA27" s="2">
        <f t="shared" si="5"/>
        <v>1.2775682522441947</v>
      </c>
      <c r="AB27" s="2">
        <f t="shared" si="6"/>
        <v>1.0610566951222964</v>
      </c>
      <c r="AC27" s="2">
        <f t="shared" si="7"/>
        <v>1.3069754828748789E-2</v>
      </c>
      <c r="AD27" s="2">
        <f t="shared" si="8"/>
        <v>3445306.4296033462</v>
      </c>
      <c r="AE27" s="1"/>
      <c r="AF27" s="1"/>
      <c r="AG27" s="1"/>
      <c r="AH27" s="1"/>
      <c r="AI27">
        <f t="shared" si="9"/>
        <v>1.4643690200238147E-6</v>
      </c>
      <c r="AJ27" s="1"/>
      <c r="AK27">
        <f t="shared" si="10"/>
        <v>7.8725126119303578E-6</v>
      </c>
      <c r="AL27">
        <f t="shared" si="11"/>
        <v>-3.991815319732622</v>
      </c>
      <c r="AM27">
        <f t="shared" si="12"/>
        <v>15.101626685346281</v>
      </c>
      <c r="AN27">
        <f t="shared" si="13"/>
        <v>228.05912854356288</v>
      </c>
      <c r="AO27">
        <f t="shared" si="14"/>
        <v>4.3848277698254222E-3</v>
      </c>
      <c r="AQ27" s="3">
        <f t="shared" si="45"/>
        <v>148.80000000000013</v>
      </c>
      <c r="AR27" s="3">
        <f t="shared" si="15"/>
        <v>608.80000000000018</v>
      </c>
      <c r="AS27">
        <f t="shared" si="51"/>
        <v>604.54049371855876</v>
      </c>
      <c r="AV27" s="3">
        <f t="shared" si="16"/>
        <v>1.6234666666666671</v>
      </c>
      <c r="AW27" s="3">
        <f t="shared" si="17"/>
        <v>0.90095453609323217</v>
      </c>
      <c r="AX27" s="4">
        <v>0.8</v>
      </c>
      <c r="AY27" s="5">
        <f t="shared" si="18"/>
        <v>0.18729805925476292</v>
      </c>
      <c r="AZ27" s="5">
        <f t="shared" si="19"/>
        <v>-8.6097227973596785E-2</v>
      </c>
      <c r="BA27" s="5">
        <f t="shared" si="20"/>
        <v>5.7550180735807047E-3</v>
      </c>
      <c r="BB27" s="5">
        <f t="shared" si="21"/>
        <v>-9.3333462430489401E-6</v>
      </c>
      <c r="BC27" s="5">
        <f t="shared" si="22"/>
        <v>5.156181863150474E-3</v>
      </c>
      <c r="BD27" s="5">
        <f t="shared" si="23"/>
        <v>0.97502410430728825</v>
      </c>
      <c r="BE27" s="6">
        <f t="shared" si="24"/>
        <v>0.92469452504899086</v>
      </c>
      <c r="BF27" s="7">
        <f t="shared" si="25"/>
        <v>0.12469452504899081</v>
      </c>
      <c r="BG27" s="5">
        <v>0.85</v>
      </c>
      <c r="BH27" s="5">
        <f t="shared" si="26"/>
        <v>0.17628052635742397</v>
      </c>
      <c r="BI27" s="5">
        <f t="shared" si="27"/>
        <v>-8.1032685151620529E-2</v>
      </c>
      <c r="BJ27" s="5">
        <f t="shared" si="28"/>
        <v>5.0978706810957128E-3</v>
      </c>
      <c r="BK27" s="5">
        <f t="shared" si="29"/>
        <v>-6.8927524885613829E-6</v>
      </c>
      <c r="BL27" s="5">
        <f t="shared" si="30"/>
        <v>4.5545477899790483E-3</v>
      </c>
      <c r="BM27" s="5">
        <f t="shared" si="31"/>
        <v>0.9778441787384532</v>
      </c>
      <c r="BN27" s="8">
        <f t="shared" si="32"/>
        <v>0.92852571632518077</v>
      </c>
      <c r="BO27" s="9">
        <f t="shared" si="33"/>
        <v>7.8525716325180794E-2</v>
      </c>
      <c r="BP27" s="10">
        <f t="shared" si="34"/>
        <v>-0.92337617447620157</v>
      </c>
      <c r="BQ27" s="10">
        <f t="shared" si="35"/>
        <v>0.93504195635080756</v>
      </c>
    </row>
    <row r="28" spans="2:69">
      <c r="B28">
        <f t="shared" si="36"/>
        <v>2400</v>
      </c>
      <c r="C28">
        <f t="shared" si="46"/>
        <v>149.60000000000014</v>
      </c>
      <c r="D28">
        <f t="shared" si="0"/>
        <v>609.60000000000014</v>
      </c>
      <c r="E28">
        <f t="shared" si="37"/>
        <v>609.20000000000016</v>
      </c>
      <c r="F28">
        <f t="shared" si="47"/>
        <v>614.43437765274609</v>
      </c>
      <c r="G28">
        <f t="shared" si="38"/>
        <v>609.48743568565237</v>
      </c>
      <c r="H28">
        <f t="shared" si="1"/>
        <v>0.93434127991268634</v>
      </c>
      <c r="I28">
        <f t="shared" si="39"/>
        <v>0.93469161813174695</v>
      </c>
      <c r="K28">
        <f t="shared" si="40"/>
        <v>-7.6538910374936335E-3</v>
      </c>
      <c r="L28">
        <f t="shared" si="41"/>
        <v>4.3848277698254222E-3</v>
      </c>
      <c r="M28">
        <f t="shared" si="48"/>
        <v>448682777.38844693</v>
      </c>
      <c r="N28">
        <f t="shared" si="49"/>
        <v>389686.38288146327</v>
      </c>
      <c r="O28">
        <f t="shared" si="50"/>
        <v>624.24865468934991</v>
      </c>
      <c r="Q28" s="2">
        <f t="shared" si="42"/>
        <v>1.8931592219426663</v>
      </c>
      <c r="R28" s="2">
        <f t="shared" si="2"/>
        <v>3.0339090095235038E-2</v>
      </c>
      <c r="W28" s="2">
        <f t="shared" si="3"/>
        <v>145718.55242443719</v>
      </c>
      <c r="X28" s="2">
        <f t="shared" si="43"/>
        <v>1181.4754300000002</v>
      </c>
      <c r="Y28" s="2">
        <f t="shared" si="4"/>
        <v>123.33608361575253</v>
      </c>
      <c r="Z28" s="2">
        <f t="shared" si="44"/>
        <v>5.2561099812204715</v>
      </c>
      <c r="AA28" s="2">
        <f t="shared" si="5"/>
        <v>1.2780411401765672</v>
      </c>
      <c r="AB28" s="2">
        <f t="shared" si="6"/>
        <v>1.0621970344370486</v>
      </c>
      <c r="AC28" s="2">
        <f t="shared" si="7"/>
        <v>1.310072222557322E-2</v>
      </c>
      <c r="AD28" s="2">
        <f t="shared" si="8"/>
        <v>3437162.43803172</v>
      </c>
      <c r="AI28">
        <f t="shared" si="9"/>
        <v>1.4678386869865591E-6</v>
      </c>
      <c r="AK28">
        <f t="shared" si="10"/>
        <v>7.8892629252092248E-6</v>
      </c>
      <c r="AL28">
        <f t="shared" si="11"/>
        <v>-3.9917439380347659</v>
      </c>
      <c r="AM28">
        <f t="shared" si="12"/>
        <v>15.101484323537587</v>
      </c>
      <c r="AN28">
        <f t="shared" si="13"/>
        <v>228.05482877405149</v>
      </c>
      <c r="AO28">
        <f t="shared" si="14"/>
        <v>4.3849104418252158E-3</v>
      </c>
      <c r="AQ28" s="3">
        <f t="shared" si="45"/>
        <v>149.60000000000014</v>
      </c>
      <c r="AR28" s="3">
        <f t="shared" si="15"/>
        <v>609.60000000000014</v>
      </c>
      <c r="AS28">
        <f t="shared" si="51"/>
        <v>614.43437765274609</v>
      </c>
      <c r="AV28" s="3">
        <f t="shared" si="16"/>
        <v>1.6256000000000004</v>
      </c>
      <c r="AW28" s="3">
        <f t="shared" si="17"/>
        <v>0.91569951960170803</v>
      </c>
      <c r="AX28" s="4">
        <v>0.8</v>
      </c>
      <c r="AY28" s="5">
        <f t="shared" si="18"/>
        <v>0.19011355060628471</v>
      </c>
      <c r="AZ28" s="5">
        <f t="shared" si="19"/>
        <v>-8.713029928209752E-2</v>
      </c>
      <c r="BA28" s="5">
        <f t="shared" si="20"/>
        <v>5.9442125738231955E-3</v>
      </c>
      <c r="BB28" s="5">
        <f t="shared" si="21"/>
        <v>-1.0045464411286777E-5</v>
      </c>
      <c r="BC28" s="5">
        <f t="shared" si="22"/>
        <v>5.2954305040050151E-3</v>
      </c>
      <c r="BD28" s="5">
        <f t="shared" si="23"/>
        <v>0.9742773912989221</v>
      </c>
      <c r="BE28" s="6">
        <f t="shared" si="24"/>
        <v>0.92398317697338372</v>
      </c>
      <c r="BF28" s="7">
        <f t="shared" si="25"/>
        <v>0.12398317697338368</v>
      </c>
      <c r="BG28" s="5">
        <v>0.85</v>
      </c>
      <c r="BH28" s="5">
        <f t="shared" si="26"/>
        <v>0.1789304005706209</v>
      </c>
      <c r="BI28" s="5">
        <f t="shared" si="27"/>
        <v>-8.2004987559621198E-2</v>
      </c>
      <c r="BJ28" s="5">
        <f t="shared" si="28"/>
        <v>5.2654616570890584E-3</v>
      </c>
      <c r="BK28" s="5">
        <f t="shared" si="29"/>
        <v>-7.4186575764527307E-6</v>
      </c>
      <c r="BL28" s="5">
        <f t="shared" si="30"/>
        <v>4.6771585373894227E-3</v>
      </c>
      <c r="BM28" s="5">
        <f t="shared" si="31"/>
        <v>0.97718078840898304</v>
      </c>
      <c r="BN28" s="8">
        <f t="shared" si="32"/>
        <v>0.92783832222212437</v>
      </c>
      <c r="BO28" s="9">
        <f t="shared" si="33"/>
        <v>7.783832222212439E-2</v>
      </c>
      <c r="BP28" s="10">
        <f t="shared" si="34"/>
        <v>-0.92289709502518702</v>
      </c>
      <c r="BQ28" s="10">
        <f t="shared" si="35"/>
        <v>0.93434127991268634</v>
      </c>
    </row>
    <row r="29" spans="2:69">
      <c r="B29">
        <f t="shared" si="36"/>
        <v>2600</v>
      </c>
      <c r="C29">
        <f t="shared" si="46"/>
        <v>150.40000000000015</v>
      </c>
      <c r="D29">
        <f t="shared" si="0"/>
        <v>610.40000000000009</v>
      </c>
      <c r="E29">
        <f t="shared" si="37"/>
        <v>610.00000000000011</v>
      </c>
      <c r="F29">
        <f t="shared" si="47"/>
        <v>624.24865468934991</v>
      </c>
      <c r="G29">
        <f t="shared" si="38"/>
        <v>619.34151617104794</v>
      </c>
      <c r="H29">
        <f t="shared" si="1"/>
        <v>0.93366005114149697</v>
      </c>
      <c r="I29">
        <f t="shared" si="39"/>
        <v>0.9340006655270916</v>
      </c>
      <c r="K29">
        <f t="shared" si="40"/>
        <v>-7.6495078975854338E-3</v>
      </c>
      <c r="L29">
        <f t="shared" si="41"/>
        <v>4.3849104418252158E-3</v>
      </c>
      <c r="M29">
        <f t="shared" si="48"/>
        <v>449205581.0757522</v>
      </c>
      <c r="N29">
        <f t="shared" si="49"/>
        <v>401940.30182027194</v>
      </c>
      <c r="O29">
        <f t="shared" si="50"/>
        <v>633.98761961119715</v>
      </c>
      <c r="Q29" s="2">
        <f t="shared" si="42"/>
        <v>1.922279095718354</v>
      </c>
      <c r="R29" s="2">
        <f t="shared" si="2"/>
        <v>3.0805754739076187E-2</v>
      </c>
      <c r="W29" s="2">
        <f t="shared" si="3"/>
        <v>146005.49405809227</v>
      </c>
      <c r="X29" s="2">
        <f t="shared" si="43"/>
        <v>1182.2754300000001</v>
      </c>
      <c r="Y29" s="2">
        <f t="shared" si="4"/>
        <v>123.495329728786</v>
      </c>
      <c r="Z29" s="2">
        <f t="shared" si="44"/>
        <v>5.2539892600720837</v>
      </c>
      <c r="AA29" s="2">
        <f t="shared" si="5"/>
        <v>1.2785127885599687</v>
      </c>
      <c r="AB29" s="2">
        <f t="shared" si="6"/>
        <v>1.0633267604803387</v>
      </c>
      <c r="AC29" s="2">
        <f t="shared" si="7"/>
        <v>1.3131588889496129E-2</v>
      </c>
      <c r="AD29" s="2">
        <f t="shared" si="8"/>
        <v>3429083.1615088279</v>
      </c>
      <c r="AI29">
        <f t="shared" si="9"/>
        <v>1.471297067575365E-6</v>
      </c>
      <c r="AK29">
        <f t="shared" si="10"/>
        <v>7.9059547373810503E-6</v>
      </c>
      <c r="AL29">
        <f t="shared" si="11"/>
        <v>-3.9916728173093712</v>
      </c>
      <c r="AM29">
        <f t="shared" si="12"/>
        <v>15.101342441088178</v>
      </c>
      <c r="AN29">
        <f t="shared" si="13"/>
        <v>228.05054352301107</v>
      </c>
      <c r="AO29">
        <f t="shared" si="14"/>
        <v>4.3849928377789485E-3</v>
      </c>
      <c r="AQ29" s="3">
        <f t="shared" si="45"/>
        <v>150.40000000000015</v>
      </c>
      <c r="AR29" s="3">
        <f t="shared" si="15"/>
        <v>610.40000000000009</v>
      </c>
      <c r="AS29">
        <f t="shared" si="51"/>
        <v>624.24865468934991</v>
      </c>
      <c r="AV29" s="3">
        <f t="shared" si="16"/>
        <v>1.6277333333333335</v>
      </c>
      <c r="AW29" s="3">
        <f t="shared" si="17"/>
        <v>0.93032586391855421</v>
      </c>
      <c r="AX29" s="4">
        <v>0.8</v>
      </c>
      <c r="AY29" s="5">
        <f t="shared" si="18"/>
        <v>0.19289706283124511</v>
      </c>
      <c r="AZ29" s="5">
        <f t="shared" si="19"/>
        <v>-8.8141986348478626E-2</v>
      </c>
      <c r="BA29" s="5">
        <f t="shared" si="20"/>
        <v>6.1348300583181055E-3</v>
      </c>
      <c r="BB29" s="5">
        <f t="shared" si="21"/>
        <v>-1.0791127997833516E-5</v>
      </c>
      <c r="BC29" s="5">
        <f t="shared" si="22"/>
        <v>5.4342909326846834E-3</v>
      </c>
      <c r="BD29" s="5">
        <f t="shared" si="23"/>
        <v>0.97352878249990571</v>
      </c>
      <c r="BE29" s="6">
        <f t="shared" si="24"/>
        <v>0.92329407347328407</v>
      </c>
      <c r="BF29" s="7">
        <f t="shared" si="25"/>
        <v>0.12329407347328403</v>
      </c>
      <c r="BG29" s="5">
        <v>0.85</v>
      </c>
      <c r="BH29" s="5">
        <f t="shared" si="26"/>
        <v>0.18155017678234836</v>
      </c>
      <c r="BI29" s="5">
        <f t="shared" si="27"/>
        <v>-8.2957163622097541E-2</v>
      </c>
      <c r="BJ29" s="5">
        <f t="shared" si="28"/>
        <v>5.4343131312437213E-3</v>
      </c>
      <c r="BK29" s="5">
        <f t="shared" si="29"/>
        <v>-7.9693362299557523E-6</v>
      </c>
      <c r="BL29" s="5">
        <f t="shared" si="30"/>
        <v>4.7994051885270608E-3</v>
      </c>
      <c r="BM29" s="5">
        <f t="shared" si="31"/>
        <v>0.97651565555134434</v>
      </c>
      <c r="BN29" s="8">
        <f t="shared" si="32"/>
        <v>0.92717181314930708</v>
      </c>
      <c r="BO29" s="9">
        <f t="shared" si="33"/>
        <v>7.71718131493071E-2</v>
      </c>
      <c r="BP29" s="10">
        <f t="shared" si="34"/>
        <v>-0.92244520647953976</v>
      </c>
      <c r="BQ29" s="10">
        <f t="shared" si="35"/>
        <v>0.93366005114149697</v>
      </c>
    </row>
    <row r="30" spans="2:69">
      <c r="B30">
        <f t="shared" si="36"/>
        <v>2800</v>
      </c>
      <c r="C30">
        <f t="shared" si="46"/>
        <v>151.20000000000016</v>
      </c>
      <c r="D30">
        <f t="shared" si="0"/>
        <v>611.20000000000016</v>
      </c>
      <c r="E30">
        <f t="shared" si="37"/>
        <v>610.80000000000018</v>
      </c>
      <c r="F30">
        <f t="shared" si="47"/>
        <v>633.98761961119715</v>
      </c>
      <c r="G30">
        <f t="shared" si="38"/>
        <v>629.11813715027347</v>
      </c>
      <c r="H30">
        <f t="shared" si="1"/>
        <v>0.93299761215722821</v>
      </c>
      <c r="I30">
        <f t="shared" si="39"/>
        <v>0.93332883164936264</v>
      </c>
      <c r="K30">
        <f t="shared" si="40"/>
        <v>-7.644987994544836E-3</v>
      </c>
      <c r="L30">
        <f t="shared" si="41"/>
        <v>4.3849928377789485E-3</v>
      </c>
      <c r="M30">
        <f t="shared" si="48"/>
        <v>449745351.56117767</v>
      </c>
      <c r="N30">
        <f t="shared" si="49"/>
        <v>414292.1148025858</v>
      </c>
      <c r="O30">
        <f t="shared" si="50"/>
        <v>643.65527637283128</v>
      </c>
      <c r="Q30" s="2">
        <f t="shared" si="42"/>
        <v>1.9510977550162296</v>
      </c>
      <c r="R30" s="2">
        <f t="shared" si="2"/>
        <v>3.1267592227824194E-2</v>
      </c>
      <c r="W30" s="2">
        <f t="shared" si="3"/>
        <v>146292.62378855873</v>
      </c>
      <c r="X30" s="2">
        <f t="shared" si="43"/>
        <v>1183.0754300000003</v>
      </c>
      <c r="Y30" s="2">
        <f t="shared" si="4"/>
        <v>123.65451946589634</v>
      </c>
      <c r="Z30" s="2">
        <f t="shared" si="44"/>
        <v>5.2518740905497374</v>
      </c>
      <c r="AA30" s="2">
        <f t="shared" si="5"/>
        <v>1.2789832022617384</v>
      </c>
      <c r="AB30" s="2">
        <f t="shared" si="6"/>
        <v>1.0644462761095612</v>
      </c>
      <c r="AC30" s="2">
        <f t="shared" si="7"/>
        <v>1.3162359276959062E-2</v>
      </c>
      <c r="AD30" s="2">
        <f t="shared" si="8"/>
        <v>3421066.8009687425</v>
      </c>
      <c r="AI30">
        <f t="shared" si="9"/>
        <v>1.4747446611014296E-6</v>
      </c>
      <c r="AK30">
        <f t="shared" si="10"/>
        <v>7.9225905070680597E-6</v>
      </c>
      <c r="AL30">
        <f t="shared" si="11"/>
        <v>-3.991601946956997</v>
      </c>
      <c r="AM30">
        <f t="shared" si="12"/>
        <v>15.10120101735267</v>
      </c>
      <c r="AN30">
        <f t="shared" si="13"/>
        <v>228.04627216649331</v>
      </c>
      <c r="AO30">
        <f t="shared" si="14"/>
        <v>4.3850749696531513E-3</v>
      </c>
      <c r="AQ30" s="3">
        <f t="shared" si="45"/>
        <v>151.20000000000016</v>
      </c>
      <c r="AR30" s="3">
        <f t="shared" si="15"/>
        <v>611.20000000000016</v>
      </c>
      <c r="AS30">
        <f t="shared" si="51"/>
        <v>633.98761961119715</v>
      </c>
      <c r="AV30" s="3">
        <f t="shared" si="16"/>
        <v>1.629866666666667</v>
      </c>
      <c r="AW30" s="3">
        <f t="shared" si="17"/>
        <v>0.94483996961430272</v>
      </c>
      <c r="AX30" s="4">
        <v>0.8</v>
      </c>
      <c r="AY30" s="5">
        <f t="shared" si="18"/>
        <v>0.19565004688205195</v>
      </c>
      <c r="AZ30" s="5">
        <f t="shared" si="19"/>
        <v>-8.9133117867335368E-2</v>
      </c>
      <c r="BA30" s="5">
        <f t="shared" si="20"/>
        <v>6.3268778312624745E-3</v>
      </c>
      <c r="BB30" s="5">
        <f t="shared" si="21"/>
        <v>-1.1571059207174733E-5</v>
      </c>
      <c r="BC30" s="5">
        <f t="shared" si="22"/>
        <v>5.5727706890080705E-3</v>
      </c>
      <c r="BD30" s="5">
        <f t="shared" si="23"/>
        <v>0.97277825954530928</v>
      </c>
      <c r="BE30" s="6">
        <f t="shared" si="24"/>
        <v>0.92262640119483263</v>
      </c>
      <c r="BF30" s="7">
        <f t="shared" si="25"/>
        <v>0.12262640119483259</v>
      </c>
      <c r="BG30" s="5">
        <v>0.85</v>
      </c>
      <c r="BH30" s="5">
        <f t="shared" si="26"/>
        <v>0.18414122059487245</v>
      </c>
      <c r="BI30" s="5">
        <f t="shared" si="27"/>
        <v>-8.3889993286903886E-2</v>
      </c>
      <c r="BJ30" s="5">
        <f t="shared" si="28"/>
        <v>5.6044315737134734E-3</v>
      </c>
      <c r="BK30" s="5">
        <f t="shared" si="29"/>
        <v>-8.545321802986116E-6</v>
      </c>
      <c r="BL30" s="5">
        <f t="shared" si="30"/>
        <v>4.9212944239683826E-3</v>
      </c>
      <c r="BM30" s="5">
        <f t="shared" si="31"/>
        <v>0.97584876335276516</v>
      </c>
      <c r="BN30" s="8">
        <f t="shared" si="32"/>
        <v>0.92652542268633686</v>
      </c>
      <c r="BO30" s="9">
        <f t="shared" si="33"/>
        <v>7.6525422686336886E-2</v>
      </c>
      <c r="BP30" s="10">
        <f t="shared" si="34"/>
        <v>-0.92201957016991531</v>
      </c>
      <c r="BQ30" s="10">
        <f t="shared" si="35"/>
        <v>0.93299761215722821</v>
      </c>
    </row>
    <row r="31" spans="2:69">
      <c r="B31">
        <f t="shared" si="36"/>
        <v>3000</v>
      </c>
      <c r="C31">
        <f t="shared" si="46"/>
        <v>152.00000000000017</v>
      </c>
      <c r="D31">
        <f t="shared" si="0"/>
        <v>612.00000000000023</v>
      </c>
      <c r="E31">
        <f t="shared" si="37"/>
        <v>611.60000000000014</v>
      </c>
      <c r="F31">
        <f t="shared" si="47"/>
        <v>643.65527637283128</v>
      </c>
      <c r="G31">
        <f t="shared" si="38"/>
        <v>638.82144799201421</v>
      </c>
      <c r="H31">
        <f t="shared" si="1"/>
        <v>0.93235334644218582</v>
      </c>
      <c r="I31">
        <f t="shared" si="39"/>
        <v>0.93267547929970696</v>
      </c>
      <c r="K31">
        <f t="shared" si="40"/>
        <v>-7.6403364272132519E-3</v>
      </c>
      <c r="L31">
        <f t="shared" si="41"/>
        <v>4.3850749696531513E-3</v>
      </c>
      <c r="M31">
        <f t="shared" si="48"/>
        <v>450301577.65744168</v>
      </c>
      <c r="N31">
        <f t="shared" si="49"/>
        <v>426742.57135494571</v>
      </c>
      <c r="O31">
        <f t="shared" si="50"/>
        <v>653.25536458183467</v>
      </c>
      <c r="Q31" s="2">
        <f t="shared" si="42"/>
        <v>1.9796276337345466</v>
      </c>
      <c r="R31" s="2">
        <f t="shared" si="2"/>
        <v>3.172480182266902E-2</v>
      </c>
      <c r="W31" s="2">
        <f t="shared" si="3"/>
        <v>146579.94149269527</v>
      </c>
      <c r="X31" s="2">
        <f t="shared" si="43"/>
        <v>1183.8754300000003</v>
      </c>
      <c r="Y31" s="2">
        <f t="shared" si="4"/>
        <v>123.81365283735573</v>
      </c>
      <c r="Z31" s="2">
        <f t="shared" si="44"/>
        <v>5.2497644508823518</v>
      </c>
      <c r="AA31" s="2">
        <f t="shared" si="5"/>
        <v>1.279452386123765</v>
      </c>
      <c r="AB31" s="2">
        <f t="shared" si="6"/>
        <v>1.0655559588995993</v>
      </c>
      <c r="AC31" s="2">
        <f t="shared" si="7"/>
        <v>1.3193037557397069E-2</v>
      </c>
      <c r="AD31" s="2">
        <f t="shared" si="8"/>
        <v>3413111.6620357507</v>
      </c>
      <c r="AI31">
        <f t="shared" si="9"/>
        <v>1.4781819347190037E-6</v>
      </c>
      <c r="AK31">
        <f t="shared" si="10"/>
        <v>7.9391725351141455E-6</v>
      </c>
      <c r="AL31">
        <f t="shared" si="11"/>
        <v>-3.9915313170575142</v>
      </c>
      <c r="AM31">
        <f t="shared" si="12"/>
        <v>15.101060033014498</v>
      </c>
      <c r="AN31">
        <f t="shared" si="13"/>
        <v>228.04201412070785</v>
      </c>
      <c r="AO31">
        <f t="shared" si="14"/>
        <v>4.3851568486440277E-3</v>
      </c>
      <c r="AQ31" s="3">
        <f t="shared" si="45"/>
        <v>152.00000000000017</v>
      </c>
      <c r="AR31" s="3">
        <f t="shared" si="15"/>
        <v>612.00000000000023</v>
      </c>
      <c r="AS31">
        <f t="shared" si="51"/>
        <v>643.65527637283128</v>
      </c>
      <c r="AV31" s="3">
        <f t="shared" si="16"/>
        <v>1.6320000000000006</v>
      </c>
      <c r="AW31" s="3">
        <f t="shared" si="17"/>
        <v>0.95924780383432384</v>
      </c>
      <c r="AX31" s="4">
        <v>0.8</v>
      </c>
      <c r="AY31" s="5">
        <f t="shared" si="18"/>
        <v>0.19837385649147316</v>
      </c>
      <c r="AZ31" s="5">
        <f t="shared" si="19"/>
        <v>-9.0104469272817456E-2</v>
      </c>
      <c r="BA31" s="5">
        <f t="shared" si="20"/>
        <v>6.5203631043940528E-3</v>
      </c>
      <c r="BB31" s="5">
        <f t="shared" si="21"/>
        <v>-1.2385984431984947E-5</v>
      </c>
      <c r="BC31" s="5">
        <f t="shared" si="22"/>
        <v>5.7108771223232692E-3</v>
      </c>
      <c r="BD31" s="5">
        <f t="shared" si="23"/>
        <v>0.97202580474431333</v>
      </c>
      <c r="BE31" s="6">
        <f t="shared" si="24"/>
        <v>0.92197939974663079</v>
      </c>
      <c r="BF31" s="7">
        <f t="shared" si="25"/>
        <v>0.12197939974663075</v>
      </c>
      <c r="BG31" s="5">
        <v>0.85</v>
      </c>
      <c r="BH31" s="5">
        <f t="shared" si="26"/>
        <v>0.18670480610962181</v>
      </c>
      <c r="BI31" s="5">
        <f t="shared" si="27"/>
        <v>-8.4804206374416435E-2</v>
      </c>
      <c r="BJ31" s="5">
        <f t="shared" si="28"/>
        <v>5.7758233727504419E-3</v>
      </c>
      <c r="BK31" s="5">
        <f t="shared" si="29"/>
        <v>-9.1471507424712863E-6</v>
      </c>
      <c r="BL31" s="5">
        <f t="shared" si="30"/>
        <v>5.042832753767647E-3</v>
      </c>
      <c r="BM31" s="5">
        <f t="shared" si="31"/>
        <v>0.97518009559181196</v>
      </c>
      <c r="BN31" s="8">
        <f t="shared" si="32"/>
        <v>0.92589843427594909</v>
      </c>
      <c r="BO31" s="9">
        <f t="shared" si="33"/>
        <v>7.5898434275949112E-2</v>
      </c>
      <c r="BP31" s="10">
        <f t="shared" si="34"/>
        <v>-0.9216193094136339</v>
      </c>
      <c r="BQ31" s="10">
        <f t="shared" si="35"/>
        <v>0.93235334644218582</v>
      </c>
    </row>
    <row r="32" spans="2:69">
      <c r="B32">
        <f t="shared" si="36"/>
        <v>3200</v>
      </c>
      <c r="C32">
        <f t="shared" si="46"/>
        <v>152.80000000000018</v>
      </c>
      <c r="D32">
        <f t="shared" si="0"/>
        <v>612.80000000000018</v>
      </c>
      <c r="E32">
        <f t="shared" si="37"/>
        <v>612.4000000000002</v>
      </c>
      <c r="F32">
        <f t="shared" si="47"/>
        <v>653.25536458183467</v>
      </c>
      <c r="G32">
        <f t="shared" si="38"/>
        <v>648.45532047733298</v>
      </c>
      <c r="H32">
        <f t="shared" si="1"/>
        <v>0.9317266751919675</v>
      </c>
      <c r="I32">
        <f t="shared" si="39"/>
        <v>0.93204001081707666</v>
      </c>
      <c r="K32">
        <f t="shared" si="40"/>
        <v>-7.6355579886974731E-3</v>
      </c>
      <c r="L32">
        <f t="shared" si="41"/>
        <v>4.3851568486440277E-3</v>
      </c>
      <c r="M32">
        <f t="shared" si="48"/>
        <v>450873782.65821832</v>
      </c>
      <c r="N32">
        <f t="shared" si="49"/>
        <v>439292.41734165454</v>
      </c>
      <c r="O32">
        <f t="shared" si="50"/>
        <v>662.79138297178736</v>
      </c>
      <c r="Q32" s="2">
        <f t="shared" si="42"/>
        <v>2.0078803459788337</v>
      </c>
      <c r="R32" s="2">
        <f t="shared" si="2"/>
        <v>3.2177569647096692E-2</v>
      </c>
      <c r="W32" s="2">
        <f t="shared" si="3"/>
        <v>146867.44704760396</v>
      </c>
      <c r="X32" s="2">
        <f t="shared" si="43"/>
        <v>1184.6754300000002</v>
      </c>
      <c r="Y32" s="2">
        <f t="shared" si="4"/>
        <v>123.97272985361394</v>
      </c>
      <c r="Z32" s="2">
        <f t="shared" si="44"/>
        <v>5.2476603194125317</v>
      </c>
      <c r="AA32" s="2">
        <f t="shared" si="5"/>
        <v>1.2799203449626531</v>
      </c>
      <c r="AB32" s="2">
        <f t="shared" si="6"/>
        <v>1.0666561633221845</v>
      </c>
      <c r="AC32" s="2">
        <f t="shared" si="7"/>
        <v>1.3223627638223349E-2</v>
      </c>
      <c r="AD32" s="2">
        <f t="shared" si="8"/>
        <v>3405216.1461858484</v>
      </c>
      <c r="AI32">
        <f t="shared" si="9"/>
        <v>1.481609326224734E-6</v>
      </c>
      <c r="AK32">
        <f t="shared" si="10"/>
        <v>7.9557029783032822E-6</v>
      </c>
      <c r="AL32">
        <f t="shared" si="11"/>
        <v>-3.9914609183110801</v>
      </c>
      <c r="AM32">
        <f t="shared" si="12"/>
        <v>15.100919469970307</v>
      </c>
      <c r="AN32">
        <f t="shared" si="13"/>
        <v>228.03776883852831</v>
      </c>
      <c r="AO32">
        <f t="shared" si="14"/>
        <v>4.3852384852444857E-3</v>
      </c>
      <c r="AQ32" s="3">
        <f t="shared" si="45"/>
        <v>152.80000000000018</v>
      </c>
      <c r="AR32" s="3">
        <f t="shared" si="15"/>
        <v>612.80000000000018</v>
      </c>
      <c r="AS32">
        <f t="shared" si="51"/>
        <v>653.25536458183467</v>
      </c>
      <c r="AV32" s="3">
        <f t="shared" si="16"/>
        <v>1.6341333333333339</v>
      </c>
      <c r="AW32" s="3">
        <f t="shared" si="17"/>
        <v>0.9735549397642842</v>
      </c>
      <c r="AX32" s="4">
        <v>0.8</v>
      </c>
      <c r="AY32" s="5">
        <f t="shared" si="18"/>
        <v>0.20106975695808937</v>
      </c>
      <c r="AZ32" s="5">
        <f t="shared" si="19"/>
        <v>-9.1056767457594903E-2</v>
      </c>
      <c r="BA32" s="5">
        <f t="shared" si="20"/>
        <v>6.715293002842483E-3</v>
      </c>
      <c r="BB32" s="5">
        <f t="shared" si="21"/>
        <v>-1.3236634458022999E-5</v>
      </c>
      <c r="BC32" s="5">
        <f t="shared" si="22"/>
        <v>5.8486174008308802E-3</v>
      </c>
      <c r="BD32" s="5">
        <f t="shared" si="23"/>
        <v>0.97127140104540177</v>
      </c>
      <c r="BE32" s="6">
        <f t="shared" si="24"/>
        <v>0.92135235699678908</v>
      </c>
      <c r="BF32" s="7">
        <f t="shared" si="25"/>
        <v>0.12135235699678903</v>
      </c>
      <c r="BG32" s="5">
        <v>0.85</v>
      </c>
      <c r="BH32" s="5">
        <f t="shared" si="26"/>
        <v>0.18924212419584885</v>
      </c>
      <c r="BI32" s="5">
        <f t="shared" si="27"/>
        <v>-8.5700487018912863E-2</v>
      </c>
      <c r="BJ32" s="5">
        <f t="shared" si="28"/>
        <v>5.9484948398881524E-3</v>
      </c>
      <c r="BK32" s="5">
        <f t="shared" si="29"/>
        <v>-9.7753627396673968E-6</v>
      </c>
      <c r="BL32" s="5">
        <f t="shared" si="30"/>
        <v>5.1640265257825854E-3</v>
      </c>
      <c r="BM32" s="5">
        <f t="shared" si="31"/>
        <v>0.97450963660766288</v>
      </c>
      <c r="BN32" s="8">
        <f t="shared" si="32"/>
        <v>0.92529017679678771</v>
      </c>
      <c r="BO32" s="9">
        <f t="shared" si="33"/>
        <v>7.5290176796787733E-2</v>
      </c>
      <c r="BP32" s="10">
        <f t="shared" si="34"/>
        <v>-0.92124360400002725</v>
      </c>
      <c r="BQ32" s="10">
        <f t="shared" si="35"/>
        <v>0.9317266751919675</v>
      </c>
    </row>
    <row r="33" spans="2:69">
      <c r="B33">
        <f t="shared" si="36"/>
        <v>3400</v>
      </c>
      <c r="C33">
        <f t="shared" si="46"/>
        <v>153.60000000000019</v>
      </c>
      <c r="D33">
        <f t="shared" si="0"/>
        <v>613.60000000000014</v>
      </c>
      <c r="E33">
        <f t="shared" si="37"/>
        <v>613.20000000000016</v>
      </c>
      <c r="F33">
        <f t="shared" si="47"/>
        <v>662.79138297178736</v>
      </c>
      <c r="G33">
        <f t="shared" si="38"/>
        <v>658.02337377681101</v>
      </c>
      <c r="H33">
        <f t="shared" si="1"/>
        <v>0.931117054073339</v>
      </c>
      <c r="I33">
        <f t="shared" si="39"/>
        <v>0.93142186463265331</v>
      </c>
      <c r="K33">
        <f t="shared" si="40"/>
        <v>-7.6306571927417998E-3</v>
      </c>
      <c r="L33">
        <f t="shared" si="41"/>
        <v>4.3852384852444857E-3</v>
      </c>
      <c r="M33">
        <f t="shared" si="48"/>
        <v>451461521.27514124</v>
      </c>
      <c r="N33">
        <f t="shared" si="49"/>
        <v>451942.39528839709</v>
      </c>
      <c r="O33">
        <f t="shared" si="50"/>
        <v>672.26661027333273</v>
      </c>
      <c r="Q33" s="2">
        <f t="shared" si="42"/>
        <v>2.0358667584036061</v>
      </c>
      <c r="R33" s="2">
        <f t="shared" si="2"/>
        <v>3.2626069846211636E-2</v>
      </c>
      <c r="W33" s="2">
        <f t="shared" si="3"/>
        <v>147155.1403306259</v>
      </c>
      <c r="X33" s="2">
        <f t="shared" si="43"/>
        <v>1185.4754300000002</v>
      </c>
      <c r="Y33" s="2">
        <f t="shared" si="4"/>
        <v>124.13175052529421</v>
      </c>
      <c r="Z33" s="2">
        <f t="shared" si="44"/>
        <v>5.2455616745958267</v>
      </c>
      <c r="AA33" s="2">
        <f t="shared" si="5"/>
        <v>1.2803870835698883</v>
      </c>
      <c r="AB33" s="2">
        <f t="shared" si="6"/>
        <v>1.067747222686755</v>
      </c>
      <c r="AC33" s="2">
        <f t="shared" si="7"/>
        <v>1.3254133187062806E-2</v>
      </c>
      <c r="AD33" s="2">
        <f t="shared" si="8"/>
        <v>3397378.7428649152</v>
      </c>
      <c r="AI33">
        <f t="shared" si="9"/>
        <v>1.4850272465487682E-6</v>
      </c>
      <c r="AK33">
        <f t="shared" si="10"/>
        <v>7.9721838615686762E-6</v>
      </c>
      <c r="AL33">
        <f t="shared" si="11"/>
        <v>-3.9913907419856041</v>
      </c>
      <c r="AM33">
        <f t="shared" si="12"/>
        <v>15.10077931122704</v>
      </c>
      <c r="AN33">
        <f t="shared" si="13"/>
        <v>228.03353580638259</v>
      </c>
      <c r="AO33">
        <f t="shared" si="14"/>
        <v>4.3853198893038011E-3</v>
      </c>
      <c r="AQ33" s="3">
        <f t="shared" si="45"/>
        <v>153.60000000000019</v>
      </c>
      <c r="AR33" s="3">
        <f t="shared" si="15"/>
        <v>613.60000000000014</v>
      </c>
      <c r="AS33">
        <f t="shared" si="51"/>
        <v>662.79138297178736</v>
      </c>
      <c r="AV33" s="3">
        <f t="shared" si="16"/>
        <v>1.636266666666667</v>
      </c>
      <c r="AW33" s="3">
        <f t="shared" si="17"/>
        <v>0.98776659161220171</v>
      </c>
      <c r="AX33" s="4">
        <v>0.8</v>
      </c>
      <c r="AY33" s="5">
        <f t="shared" si="18"/>
        <v>0.20373893293826478</v>
      </c>
      <c r="AZ33" s="5">
        <f t="shared" si="19"/>
        <v>-9.1990694964130509E-2</v>
      </c>
      <c r="BA33" s="5">
        <f t="shared" si="20"/>
        <v>6.9116745704200259E-3</v>
      </c>
      <c r="BB33" s="5">
        <f t="shared" si="21"/>
        <v>-1.4123744657116731E-5</v>
      </c>
      <c r="BC33" s="5">
        <f t="shared" si="22"/>
        <v>5.9859985201577374E-3</v>
      </c>
      <c r="BD33" s="5">
        <f t="shared" si="23"/>
        <v>0.97051503200458233</v>
      </c>
      <c r="BE33" s="6">
        <f t="shared" si="24"/>
        <v>0.92074460489631704</v>
      </c>
      <c r="BF33" s="7">
        <f t="shared" si="25"/>
        <v>0.120744604896317</v>
      </c>
      <c r="BG33" s="5">
        <v>0.85</v>
      </c>
      <c r="BH33" s="5">
        <f t="shared" si="26"/>
        <v>0.19175428982424922</v>
      </c>
      <c r="BI33" s="5">
        <f t="shared" si="27"/>
        <v>-8.6579477613299316E-2</v>
      </c>
      <c r="BJ33" s="5">
        <f t="shared" si="28"/>
        <v>6.1224522146281204E-3</v>
      </c>
      <c r="BK33" s="5">
        <f t="shared" si="29"/>
        <v>-1.0430500872680025E-5</v>
      </c>
      <c r="BL33" s="5">
        <f t="shared" si="30"/>
        <v>5.2848819333330306E-3</v>
      </c>
      <c r="BM33" s="5">
        <f t="shared" si="31"/>
        <v>0.97383737127205816</v>
      </c>
      <c r="BN33" s="8">
        <f t="shared" si="32"/>
        <v>0.92470002063164169</v>
      </c>
      <c r="BO33" s="9">
        <f t="shared" si="33"/>
        <v>7.4700020631641717E-2</v>
      </c>
      <c r="BP33" s="10">
        <f t="shared" si="34"/>
        <v>-0.92089168529350685</v>
      </c>
      <c r="BQ33" s="10">
        <f t="shared" si="35"/>
        <v>0.931117054073339</v>
      </c>
    </row>
    <row r="34" spans="2:69">
      <c r="B34">
        <f t="shared" si="36"/>
        <v>3600</v>
      </c>
      <c r="C34">
        <f t="shared" si="46"/>
        <v>154.4000000000002</v>
      </c>
      <c r="D34">
        <f t="shared" si="0"/>
        <v>614.4000000000002</v>
      </c>
      <c r="E34">
        <f t="shared" si="37"/>
        <v>614.00000000000023</v>
      </c>
      <c r="F34">
        <f t="shared" si="47"/>
        <v>672.26661027333273</v>
      </c>
      <c r="G34">
        <f t="shared" si="38"/>
        <v>667.52899662256004</v>
      </c>
      <c r="H34">
        <f t="shared" si="1"/>
        <v>0.93052397033467105</v>
      </c>
      <c r="I34">
        <f t="shared" si="39"/>
        <v>0.93082051220400497</v>
      </c>
      <c r="K34">
        <f t="shared" si="40"/>
        <v>-7.625638297206752E-3</v>
      </c>
      <c r="L34">
        <f t="shared" si="41"/>
        <v>4.3853198893038011E-3</v>
      </c>
      <c r="M34">
        <f t="shared" si="48"/>
        <v>452064376.9159444</v>
      </c>
      <c r="N34">
        <f t="shared" si="49"/>
        <v>464693.24467717123</v>
      </c>
      <c r="O34">
        <f t="shared" si="50"/>
        <v>681.68412382655004</v>
      </c>
      <c r="Q34" s="2">
        <f t="shared" si="42"/>
        <v>2.0635970545694318</v>
      </c>
      <c r="R34" s="2">
        <f t="shared" si="2"/>
        <v>3.307046561809987E-2</v>
      </c>
      <c r="W34" s="2">
        <f t="shared" si="3"/>
        <v>147443.02121934353</v>
      </c>
      <c r="X34" s="2">
        <f t="shared" si="43"/>
        <v>1186.2754300000001</v>
      </c>
      <c r="Y34" s="2">
        <f t="shared" si="4"/>
        <v>124.29071486319455</v>
      </c>
      <c r="Z34" s="2">
        <f t="shared" si="44"/>
        <v>5.2434684949999992</v>
      </c>
      <c r="AA34" s="2">
        <f t="shared" si="5"/>
        <v>1.2808526067120003</v>
      </c>
      <c r="AB34" s="2">
        <f t="shared" si="6"/>
        <v>1.0688294508741563</v>
      </c>
      <c r="AC34" s="2">
        <f t="shared" si="7"/>
        <v>1.3284557651598456E-2</v>
      </c>
      <c r="AD34" s="2">
        <f t="shared" si="8"/>
        <v>3389598.0224384409</v>
      </c>
      <c r="AI34">
        <f t="shared" si="9"/>
        <v>1.4884360819783984E-6</v>
      </c>
      <c r="AK34">
        <f t="shared" si="10"/>
        <v>7.9886170888922368E-6</v>
      </c>
      <c r="AL34">
        <f t="shared" si="11"/>
        <v>-3.9913207798698456</v>
      </c>
      <c r="AM34">
        <f t="shared" si="12"/>
        <v>15.100639540810091</v>
      </c>
      <c r="AN34">
        <f t="shared" si="13"/>
        <v>228.02931454147719</v>
      </c>
      <c r="AO34">
        <f t="shared" si="14"/>
        <v>4.3854010700808644E-3</v>
      </c>
      <c r="AQ34" s="3">
        <f t="shared" si="45"/>
        <v>154.4000000000002</v>
      </c>
      <c r="AR34" s="3">
        <f t="shared" si="15"/>
        <v>614.4000000000002</v>
      </c>
      <c r="AS34">
        <f t="shared" si="51"/>
        <v>672.26661027333273</v>
      </c>
      <c r="AV34" s="3">
        <f t="shared" si="16"/>
        <v>1.6384000000000005</v>
      </c>
      <c r="AW34" s="3">
        <f t="shared" si="17"/>
        <v>1.0018876457128654</v>
      </c>
      <c r="AX34" s="4">
        <v>0.8</v>
      </c>
      <c r="AY34" s="5">
        <f t="shared" si="18"/>
        <v>0.20638249537847408</v>
      </c>
      <c r="AZ34" s="5">
        <f t="shared" si="19"/>
        <v>-9.2906893718853731E-2</v>
      </c>
      <c r="BA34" s="5">
        <f t="shared" si="20"/>
        <v>7.1095147744157658E-3</v>
      </c>
      <c r="BB34" s="5">
        <f t="shared" si="21"/>
        <v>-1.5048055169307738E-5</v>
      </c>
      <c r="BC34" s="5">
        <f t="shared" si="22"/>
        <v>6.1230273112620462E-3</v>
      </c>
      <c r="BD34" s="5">
        <f t="shared" si="23"/>
        <v>0.9697566817562967</v>
      </c>
      <c r="BE34" s="6">
        <f t="shared" si="24"/>
        <v>0.92015551575840393</v>
      </c>
      <c r="BF34" s="7">
        <f t="shared" si="25"/>
        <v>0.12015551575840389</v>
      </c>
      <c r="BG34" s="5">
        <v>0.85</v>
      </c>
      <c r="BH34" s="5">
        <f t="shared" si="26"/>
        <v>0.19424234859150502</v>
      </c>
      <c r="BI34" s="5">
        <f t="shared" si="27"/>
        <v>-8.7441782323627051E-2</v>
      </c>
      <c r="BJ34" s="5">
        <f t="shared" si="28"/>
        <v>6.2977016686866297E-3</v>
      </c>
      <c r="BK34" s="5">
        <f t="shared" si="29"/>
        <v>-1.1113111740979573E-5</v>
      </c>
      <c r="BL34" s="5">
        <f t="shared" si="30"/>
        <v>5.4054050222642194E-3</v>
      </c>
      <c r="BM34" s="5">
        <f t="shared" si="31"/>
        <v>0.97316328496362847</v>
      </c>
      <c r="BN34" s="8">
        <f t="shared" si="32"/>
        <v>0.92412737416482604</v>
      </c>
      <c r="BO34" s="9">
        <f t="shared" si="33"/>
        <v>7.4127374164826065E-2</v>
      </c>
      <c r="BP34" s="10">
        <f t="shared" si="34"/>
        <v>-0.92056283187155763</v>
      </c>
      <c r="BQ34" s="10">
        <f t="shared" si="35"/>
        <v>0.93052397033467105</v>
      </c>
    </row>
    <row r="35" spans="2:69">
      <c r="B35">
        <f t="shared" si="36"/>
        <v>3800</v>
      </c>
      <c r="C35">
        <f t="shared" si="46"/>
        <v>155.20000000000022</v>
      </c>
      <c r="D35">
        <f t="shared" si="0"/>
        <v>615.20000000000027</v>
      </c>
      <c r="E35">
        <f t="shared" si="37"/>
        <v>614.80000000000018</v>
      </c>
      <c r="F35">
        <f t="shared" si="47"/>
        <v>681.68412382655004</v>
      </c>
      <c r="G35">
        <f t="shared" si="38"/>
        <v>676.97536704994138</v>
      </c>
      <c r="H35">
        <f t="shared" si="1"/>
        <v>0.92994694022295654</v>
      </c>
      <c r="I35">
        <f t="shared" si="39"/>
        <v>0.93023545527881379</v>
      </c>
      <c r="K35">
        <f t="shared" si="40"/>
        <v>-7.620505325035617E-3</v>
      </c>
      <c r="L35">
        <f t="shared" si="41"/>
        <v>4.3854010700808644E-3</v>
      </c>
      <c r="M35">
        <f t="shared" si="48"/>
        <v>452681959.25837189</v>
      </c>
      <c r="N35">
        <f t="shared" si="49"/>
        <v>477545.70221561176</v>
      </c>
      <c r="O35">
        <f t="shared" si="50"/>
        <v>691.04681622565329</v>
      </c>
      <c r="Q35" s="2">
        <f t="shared" si="42"/>
        <v>2.0910807923658541</v>
      </c>
      <c r="R35" s="2">
        <f t="shared" si="2"/>
        <v>3.3510910134068178E-2</v>
      </c>
      <c r="W35" s="2">
        <f t="shared" si="3"/>
        <v>147731.08959157742</v>
      </c>
      <c r="X35" s="2">
        <f t="shared" si="43"/>
        <v>1187.0754300000003</v>
      </c>
      <c r="Y35" s="2">
        <f t="shared" si="4"/>
        <v>124.44962287828447</v>
      </c>
      <c r="Z35" s="2">
        <f t="shared" si="44"/>
        <v>5.24138075930429</v>
      </c>
      <c r="AA35" s="2">
        <f t="shared" si="5"/>
        <v>1.2813169191307261</v>
      </c>
      <c r="AB35" s="2">
        <f t="shared" si="6"/>
        <v>1.0699031438897504</v>
      </c>
      <c r="AC35" s="2">
        <f t="shared" si="7"/>
        <v>1.3314904277337036E-2</v>
      </c>
      <c r="AD35" s="2">
        <f t="shared" si="8"/>
        <v>3381872.6298671812</v>
      </c>
      <c r="AI35">
        <f t="shared" si="9"/>
        <v>1.4918361961485652E-6</v>
      </c>
      <c r="AK35">
        <f t="shared" si="10"/>
        <v>8.0050044530621582E-6</v>
      </c>
      <c r="AL35">
        <f t="shared" si="11"/>
        <v>-3.9912510242314219</v>
      </c>
      <c r="AM35">
        <f t="shared" si="12"/>
        <v>15.100500143681067</v>
      </c>
      <c r="AN35">
        <f t="shared" si="13"/>
        <v>228.02510458931192</v>
      </c>
      <c r="AO35">
        <f t="shared" si="14"/>
        <v>4.3854820362918597E-3</v>
      </c>
      <c r="AQ35" s="3">
        <f t="shared" si="45"/>
        <v>155.20000000000022</v>
      </c>
      <c r="AR35" s="3">
        <f t="shared" si="15"/>
        <v>615.20000000000027</v>
      </c>
      <c r="AS35">
        <f t="shared" si="51"/>
        <v>681.68412382655004</v>
      </c>
      <c r="AV35" s="3">
        <f t="shared" si="16"/>
        <v>1.6405333333333341</v>
      </c>
      <c r="AW35" s="3">
        <f t="shared" si="17"/>
        <v>1.0159226882660954</v>
      </c>
      <c r="AX35" s="4">
        <v>0.8</v>
      </c>
      <c r="AY35" s="5">
        <f t="shared" si="18"/>
        <v>0.20900148770103649</v>
      </c>
      <c r="AZ35" s="5">
        <f t="shared" si="19"/>
        <v>-9.3805968368918746E-2</v>
      </c>
      <c r="BA35" s="5">
        <f t="shared" si="20"/>
        <v>7.3088205099486421E-3</v>
      </c>
      <c r="BB35" s="5">
        <f t="shared" si="21"/>
        <v>-1.601031107510643E-5</v>
      </c>
      <c r="BC35" s="5">
        <f t="shared" si="22"/>
        <v>6.2597104477401539E-3</v>
      </c>
      <c r="BD35" s="5">
        <f t="shared" si="23"/>
        <v>0.96899633498673132</v>
      </c>
      <c r="BE35" s="6">
        <f t="shared" si="24"/>
        <v>0.91958449893404337</v>
      </c>
      <c r="BF35" s="7">
        <f t="shared" si="25"/>
        <v>0.11958449893404333</v>
      </c>
      <c r="BG35" s="5">
        <v>0.85</v>
      </c>
      <c r="BH35" s="5">
        <f t="shared" si="26"/>
        <v>0.196707282542152</v>
      </c>
      <c r="BI35" s="5">
        <f t="shared" si="27"/>
        <v>-8.8287970229570592E-2</v>
      </c>
      <c r="BJ35" s="5">
        <f t="shared" si="28"/>
        <v>6.4742493098507011E-3</v>
      </c>
      <c r="BK35" s="5">
        <f t="shared" si="29"/>
        <v>-1.1823745592613064E-5</v>
      </c>
      <c r="BL35" s="5">
        <f t="shared" si="30"/>
        <v>5.5256016974772624E-3</v>
      </c>
      <c r="BM35" s="5">
        <f t="shared" si="31"/>
        <v>0.97248736354434573</v>
      </c>
      <c r="BN35" s="8">
        <f t="shared" si="32"/>
        <v>0.92357168065264861</v>
      </c>
      <c r="BO35" s="9">
        <f t="shared" si="33"/>
        <v>7.357168065264863E-2</v>
      </c>
      <c r="BP35" s="10">
        <f t="shared" si="34"/>
        <v>-0.92025636562789515</v>
      </c>
      <c r="BQ35" s="10">
        <f t="shared" si="35"/>
        <v>0.92994694022295654</v>
      </c>
    </row>
    <row r="36" spans="2:69">
      <c r="B36">
        <f t="shared" si="36"/>
        <v>4000</v>
      </c>
      <c r="C36">
        <f t="shared" si="46"/>
        <v>156.00000000000023</v>
      </c>
      <c r="D36">
        <f t="shared" si="0"/>
        <v>616.00000000000023</v>
      </c>
      <c r="E36">
        <f t="shared" si="37"/>
        <v>615.60000000000025</v>
      </c>
      <c r="F36">
        <f t="shared" si="47"/>
        <v>691.04681622565329</v>
      </c>
      <c r="G36">
        <f t="shared" si="38"/>
        <v>686.36547002610166</v>
      </c>
      <c r="H36">
        <f t="shared" si="1"/>
        <v>0.92938550666840514</v>
      </c>
      <c r="I36">
        <f t="shared" si="39"/>
        <v>0.92966622344568084</v>
      </c>
      <c r="K36">
        <f t="shared" si="40"/>
        <v>-7.6152620830317519E-3</v>
      </c>
      <c r="L36">
        <f t="shared" si="41"/>
        <v>4.3854820362918597E-3</v>
      </c>
      <c r="M36">
        <f t="shared" si="48"/>
        <v>453313902.08147067</v>
      </c>
      <c r="N36">
        <f t="shared" si="49"/>
        <v>490500.50208339293</v>
      </c>
      <c r="O36">
        <f t="shared" si="50"/>
        <v>700.35741024379331</v>
      </c>
      <c r="Q36" s="2">
        <f t="shared" si="42"/>
        <v>2.1183269553911415</v>
      </c>
      <c r="R36" s="2">
        <f t="shared" si="2"/>
        <v>3.3947547362037526E-2</v>
      </c>
      <c r="W36" s="2">
        <f t="shared" si="3"/>
        <v>148019.34532538737</v>
      </c>
      <c r="X36" s="2">
        <f t="shared" si="43"/>
        <v>1187.8754300000003</v>
      </c>
      <c r="Y36" s="2">
        <f t="shared" si="4"/>
        <v>124.60847458170537</v>
      </c>
      <c r="Z36" s="2">
        <f t="shared" si="44"/>
        <v>5.2392984462987009</v>
      </c>
      <c r="AA36" s="2">
        <f t="shared" si="5"/>
        <v>1.2817800255431691</v>
      </c>
      <c r="AB36" s="2">
        <f t="shared" si="6"/>
        <v>1.0709685812585554</v>
      </c>
      <c r="AC36" s="2">
        <f t="shared" si="7"/>
        <v>1.3345176123556176E-2</v>
      </c>
      <c r="AD36" s="2">
        <f t="shared" si="8"/>
        <v>3374201.2790182894</v>
      </c>
      <c r="AI36">
        <f t="shared" si="9"/>
        <v>1.4952279318286198E-6</v>
      </c>
      <c r="AK36">
        <f t="shared" si="10"/>
        <v>8.0213476444327231E-6</v>
      </c>
      <c r="AL36">
        <f t="shared" si="11"/>
        <v>-3.9911814677791098</v>
      </c>
      <c r="AM36">
        <f t="shared" si="12"/>
        <v>15.100361105663987</v>
      </c>
      <c r="AN36">
        <f t="shared" si="13"/>
        <v>228.02090552144972</v>
      </c>
      <c r="AO36">
        <f t="shared" si="14"/>
        <v>4.3855627961530523E-3</v>
      </c>
      <c r="AQ36" s="3">
        <f t="shared" si="45"/>
        <v>156.00000000000023</v>
      </c>
      <c r="AR36" s="3">
        <f t="shared" si="15"/>
        <v>616.00000000000023</v>
      </c>
      <c r="AS36">
        <f t="shared" si="51"/>
        <v>691.04681622565329</v>
      </c>
      <c r="AV36" s="3">
        <f t="shared" si="16"/>
        <v>1.6426666666666672</v>
      </c>
      <c r="AW36" s="3">
        <f t="shared" si="17"/>
        <v>1.0298760301425534</v>
      </c>
      <c r="AX36" s="4">
        <v>0.8</v>
      </c>
      <c r="AY36" s="5">
        <f t="shared" si="18"/>
        <v>0.21159689133915074</v>
      </c>
      <c r="AZ36" s="5">
        <f t="shared" si="19"/>
        <v>-9.468848927221446E-2</v>
      </c>
      <c r="BA36" s="5">
        <f t="shared" si="20"/>
        <v>7.5095986039272018E-3</v>
      </c>
      <c r="BB36" s="5">
        <f t="shared" si="21"/>
        <v>-1.7011262558700164E-5</v>
      </c>
      <c r="BC36" s="5">
        <f t="shared" si="22"/>
        <v>6.3960544525958557E-3</v>
      </c>
      <c r="BD36" s="5">
        <f t="shared" si="23"/>
        <v>0.96823397690927526</v>
      </c>
      <c r="BE36" s="6">
        <f t="shared" si="24"/>
        <v>0.91903099783343667</v>
      </c>
      <c r="BF36" s="7">
        <f t="shared" si="25"/>
        <v>0.11903099783343662</v>
      </c>
      <c r="BG36" s="5">
        <v>0.85</v>
      </c>
      <c r="BH36" s="5">
        <f t="shared" si="26"/>
        <v>0.19915001537802426</v>
      </c>
      <c r="BI36" s="5">
        <f t="shared" si="27"/>
        <v>-8.9118578138554796E-2</v>
      </c>
      <c r="BJ36" s="5">
        <f t="shared" si="28"/>
        <v>6.6521011854856907E-3</v>
      </c>
      <c r="BK36" s="5">
        <f t="shared" si="29"/>
        <v>-1.2562956444734648E-5</v>
      </c>
      <c r="BL36" s="5">
        <f t="shared" si="30"/>
        <v>5.6454777289808751E-3</v>
      </c>
      <c r="BM36" s="5">
        <f t="shared" si="31"/>
        <v>0.97180959333787109</v>
      </c>
      <c r="BN36" s="8">
        <f t="shared" si="32"/>
        <v>0.92303241541937442</v>
      </c>
      <c r="BO36" s="9">
        <f t="shared" si="33"/>
        <v>7.3032415419374441E-2</v>
      </c>
      <c r="BP36" s="10">
        <f t="shared" si="34"/>
        <v>-0.91997164828124489</v>
      </c>
      <c r="BQ36" s="10">
        <f t="shared" si="35"/>
        <v>0.92938550666840514</v>
      </c>
    </row>
    <row r="37" spans="2:69">
      <c r="B37">
        <f t="shared" si="36"/>
        <v>4200</v>
      </c>
      <c r="C37">
        <f t="shared" si="46"/>
        <v>156.80000000000024</v>
      </c>
      <c r="D37">
        <f t="shared" si="0"/>
        <v>616.80000000000018</v>
      </c>
      <c r="E37">
        <f t="shared" si="37"/>
        <v>616.4000000000002</v>
      </c>
      <c r="F37">
        <f t="shared" si="47"/>
        <v>700.35741024379331</v>
      </c>
      <c r="G37">
        <f t="shared" si="38"/>
        <v>695.70211323472336</v>
      </c>
      <c r="H37">
        <f t="shared" si="1"/>
        <v>0.92883923720332584</v>
      </c>
      <c r="I37">
        <f t="shared" si="39"/>
        <v>0.92911237193586549</v>
      </c>
      <c r="K37">
        <f t="shared" si="40"/>
        <v>-7.6099121787215228E-3</v>
      </c>
      <c r="L37">
        <f t="shared" si="41"/>
        <v>4.3855627961530523E-3</v>
      </c>
      <c r="M37">
        <f t="shared" si="48"/>
        <v>453959861.32162577</v>
      </c>
      <c r="N37">
        <f t="shared" si="49"/>
        <v>503558.37615805719</v>
      </c>
      <c r="O37">
        <f t="shared" si="50"/>
        <v>709.61847224974156</v>
      </c>
      <c r="Q37" s="2">
        <f t="shared" si="42"/>
        <v>2.1453439990477827</v>
      </c>
      <c r="R37" s="2">
        <f t="shared" si="2"/>
        <v>3.4380512805252929E-2</v>
      </c>
      <c r="W37" s="2">
        <f t="shared" si="3"/>
        <v>148307.78829907041</v>
      </c>
      <c r="X37" s="2">
        <f t="shared" si="43"/>
        <v>1188.6754300000002</v>
      </c>
      <c r="Y37" s="2">
        <f t="shared" si="4"/>
        <v>124.76726998476815</v>
      </c>
      <c r="Z37" s="2">
        <f t="shared" si="44"/>
        <v>5.2372215348832674</v>
      </c>
      <c r="AA37" s="2">
        <f t="shared" si="5"/>
        <v>1.2822419306419615</v>
      </c>
      <c r="AB37" s="2">
        <f t="shared" si="6"/>
        <v>1.0720260272817466</v>
      </c>
      <c r="AC37" s="2">
        <f t="shared" si="7"/>
        <v>1.3375376077656011E-2</v>
      </c>
      <c r="AD37" s="2">
        <f t="shared" si="8"/>
        <v>3366582.7475348879</v>
      </c>
      <c r="AI37">
        <f t="shared" si="9"/>
        <v>1.498611612530316E-6</v>
      </c>
      <c r="AK37">
        <f t="shared" si="10"/>
        <v>8.0376482588084204E-6</v>
      </c>
      <c r="AL37">
        <f t="shared" si="11"/>
        <v>-3.9911121036289123</v>
      </c>
      <c r="AM37">
        <f t="shared" si="12"/>
        <v>15.100222413378837</v>
      </c>
      <c r="AN37">
        <f t="shared" si="13"/>
        <v>228.0167169335086</v>
      </c>
      <c r="AO37">
        <f t="shared" si="14"/>
        <v>4.3856433574193049E-3</v>
      </c>
      <c r="AQ37" s="3">
        <f t="shared" si="45"/>
        <v>156.80000000000024</v>
      </c>
      <c r="AR37" s="3">
        <f t="shared" si="15"/>
        <v>616.80000000000018</v>
      </c>
      <c r="AS37">
        <f t="shared" si="51"/>
        <v>700.35741024379331</v>
      </c>
      <c r="AV37" s="3">
        <f t="shared" si="16"/>
        <v>1.6448000000000005</v>
      </c>
      <c r="AW37" s="3">
        <f t="shared" si="17"/>
        <v>1.0437517291263685</v>
      </c>
      <c r="AX37" s="4">
        <v>0.8</v>
      </c>
      <c r="AY37" s="5">
        <f t="shared" si="18"/>
        <v>0.21416963070291176</v>
      </c>
      <c r="AZ37" s="5">
        <f t="shared" si="19"/>
        <v>-9.5554995183824043E-2</v>
      </c>
      <c r="BA37" s="5">
        <f t="shared" si="20"/>
        <v>7.7118558186579523E-3</v>
      </c>
      <c r="BB37" s="5">
        <f t="shared" si="21"/>
        <v>-1.8051665062867513E-5</v>
      </c>
      <c r="BC37" s="5">
        <f t="shared" si="22"/>
        <v>6.5320657045258431E-3</v>
      </c>
      <c r="BD37" s="5">
        <f t="shared" si="23"/>
        <v>0.96746959324190329</v>
      </c>
      <c r="BE37" s="6">
        <f t="shared" si="24"/>
        <v>0.91849448725008376</v>
      </c>
      <c r="BF37" s="7">
        <f t="shared" si="25"/>
        <v>0.11849448725008371</v>
      </c>
      <c r="BG37" s="5">
        <v>0.85</v>
      </c>
      <c r="BH37" s="5">
        <f t="shared" si="26"/>
        <v>0.20157141713215224</v>
      </c>
      <c r="BI37" s="5">
        <f t="shared" si="27"/>
        <v>-8.9934113114187336E-2</v>
      </c>
      <c r="BJ37" s="5">
        <f t="shared" si="28"/>
        <v>6.8312632857316109E-3</v>
      </c>
      <c r="BK37" s="5">
        <f t="shared" si="29"/>
        <v>-1.3331302198011039E-5</v>
      </c>
      <c r="BL37" s="5">
        <f t="shared" si="30"/>
        <v>5.7650387575121234E-3</v>
      </c>
      <c r="BM37" s="5">
        <f t="shared" si="31"/>
        <v>0.97112996110960581</v>
      </c>
      <c r="BN37" s="8">
        <f t="shared" si="32"/>
        <v>0.92250908333812043</v>
      </c>
      <c r="BO37" s="9">
        <f t="shared" si="33"/>
        <v>7.250908333812045E-2</v>
      </c>
      <c r="BP37" s="10">
        <f t="shared" si="34"/>
        <v>-0.91970807823926648</v>
      </c>
      <c r="BQ37" s="10">
        <f t="shared" si="35"/>
        <v>0.92883923720332584</v>
      </c>
    </row>
    <row r="38" spans="2:69">
      <c r="B38">
        <f t="shared" si="36"/>
        <v>4400</v>
      </c>
      <c r="C38">
        <f t="shared" si="46"/>
        <v>157.60000000000025</v>
      </c>
      <c r="D38">
        <f t="shared" si="0"/>
        <v>617.60000000000025</v>
      </c>
      <c r="E38">
        <f t="shared" si="37"/>
        <v>617.20000000000027</v>
      </c>
      <c r="F38">
        <f t="shared" si="47"/>
        <v>709.61847224974156</v>
      </c>
      <c r="G38">
        <f t="shared" si="38"/>
        <v>704.98794124676738</v>
      </c>
      <c r="H38">
        <f t="shared" si="1"/>
        <v>0.92830772208680967</v>
      </c>
      <c r="I38">
        <f t="shared" si="39"/>
        <v>0.92857347964506776</v>
      </c>
      <c r="K38">
        <f t="shared" si="40"/>
        <v>-7.6044590355377828E-3</v>
      </c>
      <c r="L38">
        <f t="shared" si="41"/>
        <v>4.3856433574193049E-3</v>
      </c>
      <c r="M38">
        <f t="shared" si="48"/>
        <v>454619513.3254782</v>
      </c>
      <c r="N38">
        <f t="shared" si="49"/>
        <v>516720.05422232911</v>
      </c>
      <c r="O38">
        <f t="shared" si="50"/>
        <v>718.83242429813163</v>
      </c>
      <c r="Q38" s="2">
        <f t="shared" si="42"/>
        <v>2.1721398920025852</v>
      </c>
      <c r="R38" s="2">
        <f t="shared" si="2"/>
        <v>3.4809934166708099E-2</v>
      </c>
      <c r="W38" s="2">
        <f t="shared" si="3"/>
        <v>148596.41839116029</v>
      </c>
      <c r="X38" s="2">
        <f t="shared" si="43"/>
        <v>1189.4754300000004</v>
      </c>
      <c r="Y38" s="2">
        <f t="shared" si="4"/>
        <v>124.92600909895233</v>
      </c>
      <c r="Z38" s="2">
        <f t="shared" si="44"/>
        <v>5.2351500040673562</v>
      </c>
      <c r="AA38" s="2">
        <f t="shared" si="5"/>
        <v>1.2827026390954201</v>
      </c>
      <c r="AB38" s="2">
        <f t="shared" si="6"/>
        <v>1.0730757321711122</v>
      </c>
      <c r="AC38" s="2">
        <f t="shared" si="7"/>
        <v>1.340550686810733E-2</v>
      </c>
      <c r="AD38" s="2">
        <f t="shared" si="8"/>
        <v>3359015.8721976839</v>
      </c>
      <c r="AI38">
        <f t="shared" si="9"/>
        <v>1.5019875439585544E-6</v>
      </c>
      <c r="AK38">
        <f t="shared" si="10"/>
        <v>8.0539078045576857E-6</v>
      </c>
      <c r="AL38">
        <f t="shared" si="11"/>
        <v>-3.9910429252734403</v>
      </c>
      <c r="AM38">
        <f t="shared" si="12"/>
        <v>15.100084054181645</v>
      </c>
      <c r="AN38">
        <f t="shared" si="13"/>
        <v>228.01253844335079</v>
      </c>
      <c r="AO38">
        <f t="shared" si="14"/>
        <v>4.3857237274188225E-3</v>
      </c>
      <c r="AQ38" s="3">
        <f t="shared" si="45"/>
        <v>157.60000000000025</v>
      </c>
      <c r="AR38" s="3">
        <f t="shared" si="15"/>
        <v>617.60000000000025</v>
      </c>
      <c r="AS38">
        <f t="shared" si="51"/>
        <v>709.61847224974156</v>
      </c>
      <c r="AV38" s="3">
        <f t="shared" si="16"/>
        <v>1.646933333333334</v>
      </c>
      <c r="AW38" s="3">
        <f t="shared" si="17"/>
        <v>1.0575536099101961</v>
      </c>
      <c r="AX38" s="4">
        <v>0.8</v>
      </c>
      <c r="AY38" s="5">
        <f t="shared" si="18"/>
        <v>0.216720577646145</v>
      </c>
      <c r="AZ38" s="5">
        <f t="shared" si="19"/>
        <v>-9.6405995675899372E-2</v>
      </c>
      <c r="BA38" s="5">
        <f t="shared" si="20"/>
        <v>7.9155988551386641E-3</v>
      </c>
      <c r="BB38" s="5">
        <f t="shared" si="21"/>
        <v>-1.9132279436270092E-5</v>
      </c>
      <c r="BC38" s="5">
        <f t="shared" si="22"/>
        <v>6.6677504437681603E-3</v>
      </c>
      <c r="BD38" s="5">
        <f t="shared" si="23"/>
        <v>0.96670317018629226</v>
      </c>
      <c r="BE38" s="6">
        <f t="shared" si="24"/>
        <v>0.91797447095067741</v>
      </c>
      <c r="BF38" s="7">
        <f t="shared" si="25"/>
        <v>0.11797447095067737</v>
      </c>
      <c r="BG38" s="5">
        <v>0.85</v>
      </c>
      <c r="BH38" s="5">
        <f t="shared" si="26"/>
        <v>0.20397230837284233</v>
      </c>
      <c r="BI38" s="5">
        <f t="shared" si="27"/>
        <v>-9.0735054753787639E-2</v>
      </c>
      <c r="BJ38" s="5">
        <f t="shared" si="28"/>
        <v>7.0117415464204073E-3</v>
      </c>
      <c r="BK38" s="5">
        <f t="shared" si="29"/>
        <v>-1.4129344745397837E-5</v>
      </c>
      <c r="BL38" s="5">
        <f t="shared" si="30"/>
        <v>5.8842902997678168E-3</v>
      </c>
      <c r="BM38" s="5">
        <f t="shared" si="31"/>
        <v>0.97044845404827329</v>
      </c>
      <c r="BN38" s="8">
        <f t="shared" si="32"/>
        <v>0.9220012165619591</v>
      </c>
      <c r="BO38" s="9">
        <f t="shared" si="33"/>
        <v>7.2001216561959125E-2</v>
      </c>
      <c r="BP38" s="10">
        <f t="shared" si="34"/>
        <v>-0.91946508777436609</v>
      </c>
      <c r="BQ38" s="10">
        <f t="shared" si="35"/>
        <v>0.92830772208680967</v>
      </c>
    </row>
    <row r="39" spans="2:69">
      <c r="B39">
        <f t="shared" si="36"/>
        <v>4600</v>
      </c>
      <c r="C39">
        <f t="shared" si="46"/>
        <v>158.40000000000026</v>
      </c>
      <c r="D39">
        <f t="shared" si="0"/>
        <v>618.40000000000032</v>
      </c>
      <c r="E39">
        <f t="shared" si="37"/>
        <v>618.00000000000023</v>
      </c>
      <c r="F39">
        <f t="shared" si="47"/>
        <v>718.83242429813163</v>
      </c>
      <c r="G39">
        <f t="shared" si="38"/>
        <v>714.22544827393654</v>
      </c>
      <c r="H39">
        <f t="shared" si="1"/>
        <v>0.92779057261076736</v>
      </c>
      <c r="I39">
        <f t="shared" si="39"/>
        <v>0.92804914734878852</v>
      </c>
      <c r="K39">
        <f t="shared" si="40"/>
        <v>-7.5989059065253188E-3</v>
      </c>
      <c r="L39">
        <f t="shared" si="41"/>
        <v>4.3857237274188225E-3</v>
      </c>
      <c r="M39">
        <f t="shared" si="48"/>
        <v>455292553.27586448</v>
      </c>
      <c r="N39">
        <f t="shared" si="49"/>
        <v>529986.26415472513</v>
      </c>
      <c r="O39">
        <f t="shared" si="50"/>
        <v>728.00155504966142</v>
      </c>
      <c r="Q39" s="2">
        <f t="shared" si="42"/>
        <v>2.1987221535681103</v>
      </c>
      <c r="R39" s="2">
        <f t="shared" si="2"/>
        <v>3.52359319482069E-2</v>
      </c>
      <c r="W39" s="2">
        <f t="shared" si="3"/>
        <v>148885.23548042701</v>
      </c>
      <c r="X39" s="2">
        <f t="shared" si="43"/>
        <v>1190.2754300000004</v>
      </c>
      <c r="Y39" s="2">
        <f t="shared" si="4"/>
        <v>125.0846919359051</v>
      </c>
      <c r="Z39" s="2">
        <f t="shared" si="44"/>
        <v>5.2330838329689513</v>
      </c>
      <c r="AA39" s="2">
        <f t="shared" si="5"/>
        <v>1.2831621555477053</v>
      </c>
      <c r="AB39" s="2">
        <f t="shared" si="6"/>
        <v>1.0741179330757398</v>
      </c>
      <c r="AC39" s="2">
        <f t="shared" si="7"/>
        <v>1.3435571076161005E-2</v>
      </c>
      <c r="AD39" s="2">
        <f t="shared" si="8"/>
        <v>3351499.5447215466</v>
      </c>
      <c r="AI39">
        <f t="shared" si="9"/>
        <v>1.5053560153233356E-6</v>
      </c>
      <c r="AK39">
        <f t="shared" si="10"/>
        <v>8.0701277090469329E-6</v>
      </c>
      <c r="AL39">
        <f t="shared" si="11"/>
        <v>-3.9909739265542163</v>
      </c>
      <c r="AM39">
        <f t="shared" si="12"/>
        <v>15.099946016110259</v>
      </c>
      <c r="AN39">
        <f t="shared" si="13"/>
        <v>228.00836968944409</v>
      </c>
      <c r="AO39">
        <f t="shared" si="14"/>
        <v>4.3858039130845825E-3</v>
      </c>
      <c r="AQ39" s="3">
        <f t="shared" si="45"/>
        <v>158.40000000000026</v>
      </c>
      <c r="AR39" s="3">
        <f t="shared" si="15"/>
        <v>618.40000000000032</v>
      </c>
      <c r="AS39">
        <f t="shared" si="51"/>
        <v>718.83242429813163</v>
      </c>
      <c r="AV39" s="3">
        <f t="shared" si="16"/>
        <v>1.6490666666666676</v>
      </c>
      <c r="AW39" s="3">
        <f t="shared" si="17"/>
        <v>1.07128528211346</v>
      </c>
      <c r="AX39" s="4">
        <v>0.8</v>
      </c>
      <c r="AY39" s="5">
        <f t="shared" si="18"/>
        <v>0.21925055549399208</v>
      </c>
      <c r="AZ39" s="5">
        <f t="shared" si="19"/>
        <v>-9.7241973322700431E-2</v>
      </c>
      <c r="BA39" s="5">
        <f t="shared" si="20"/>
        <v>8.1208343560687356E-3</v>
      </c>
      <c r="BB39" s="5">
        <f t="shared" si="21"/>
        <v>-2.025387207372385E-5</v>
      </c>
      <c r="BC39" s="5">
        <f t="shared" si="22"/>
        <v>6.803114777554937E-3</v>
      </c>
      <c r="BD39" s="5">
        <f t="shared" si="23"/>
        <v>0.96593469440849922</v>
      </c>
      <c r="BE39" s="6">
        <f t="shared" si="24"/>
        <v>0.91747047949912541</v>
      </c>
      <c r="BF39" s="7">
        <f t="shared" si="25"/>
        <v>0.11747047949912537</v>
      </c>
      <c r="BG39" s="5">
        <v>0.85</v>
      </c>
      <c r="BH39" s="5">
        <f t="shared" si="26"/>
        <v>0.20635346399434551</v>
      </c>
      <c r="BI39" s="5">
        <f t="shared" si="27"/>
        <v>-9.1521857244894533E-2</v>
      </c>
      <c r="BJ39" s="5">
        <f t="shared" si="28"/>
        <v>7.1935418517425484E-3</v>
      </c>
      <c r="BK39" s="5">
        <f t="shared" si="29"/>
        <v>-1.4957650075730919E-5</v>
      </c>
      <c r="BL39" s="5">
        <f t="shared" si="30"/>
        <v>6.0032377532832507E-3</v>
      </c>
      <c r="BM39" s="5">
        <f t="shared" si="31"/>
        <v>0.96976505974888239</v>
      </c>
      <c r="BN39" s="8">
        <f t="shared" si="32"/>
        <v>0.92150837247542328</v>
      </c>
      <c r="BO39" s="9">
        <f t="shared" si="33"/>
        <v>7.1508372475423299E-2</v>
      </c>
      <c r="BP39" s="10">
        <f t="shared" si="34"/>
        <v>-0.91924214047404262</v>
      </c>
      <c r="BQ39" s="10">
        <f t="shared" si="35"/>
        <v>0.92779057261076736</v>
      </c>
    </row>
    <row r="40" spans="2:69">
      <c r="B40">
        <f t="shared" si="36"/>
        <v>4800</v>
      </c>
      <c r="C40">
        <f t="shared" si="46"/>
        <v>159.20000000000027</v>
      </c>
      <c r="D40">
        <f t="shared" si="0"/>
        <v>619.20000000000027</v>
      </c>
      <c r="E40">
        <f t="shared" si="37"/>
        <v>618.8000000000003</v>
      </c>
      <c r="F40">
        <f t="shared" si="47"/>
        <v>728.00155504966142</v>
      </c>
      <c r="G40">
        <f t="shared" si="38"/>
        <v>723.41698967389652</v>
      </c>
      <c r="H40">
        <f t="shared" si="1"/>
        <v>0.92728741956619753</v>
      </c>
      <c r="I40">
        <f t="shared" si="39"/>
        <v>0.92753899608848245</v>
      </c>
      <c r="K40">
        <f t="shared" si="40"/>
        <v>-7.5932558867416204E-3</v>
      </c>
      <c r="L40">
        <f t="shared" si="41"/>
        <v>4.3858039130845825E-3</v>
      </c>
      <c r="M40">
        <f t="shared" si="48"/>
        <v>455978693.77026075</v>
      </c>
      <c r="N40">
        <f t="shared" si="49"/>
        <v>543357.73210505815</v>
      </c>
      <c r="O40">
        <f t="shared" si="50"/>
        <v>737.12802965635365</v>
      </c>
      <c r="Q40" s="2">
        <f t="shared" si="42"/>
        <v>2.2250978874850182</v>
      </c>
      <c r="R40" s="2">
        <f t="shared" si="2"/>
        <v>3.565861999174709E-2</v>
      </c>
      <c r="W40" s="2">
        <f t="shared" si="3"/>
        <v>149174.23944587586</v>
      </c>
      <c r="X40" s="2">
        <f t="shared" si="43"/>
        <v>1191.0754300000003</v>
      </c>
      <c r="Y40" s="2">
        <f t="shared" si="4"/>
        <v>125.24331850743981</v>
      </c>
      <c r="Z40" s="2">
        <f t="shared" si="44"/>
        <v>5.231023000813952</v>
      </c>
      <c r="AA40" s="2">
        <f t="shared" si="5"/>
        <v>1.2836204846189772</v>
      </c>
      <c r="AB40" s="2">
        <f t="shared" si="6"/>
        <v>1.0751528550132801</v>
      </c>
      <c r="AC40" s="2">
        <f t="shared" si="7"/>
        <v>1.346557114646115E-2</v>
      </c>
      <c r="AD40" s="2">
        <f t="shared" si="8"/>
        <v>3344032.7079376518</v>
      </c>
      <c r="AI40">
        <f t="shared" si="9"/>
        <v>1.5087173005288877E-6</v>
      </c>
      <c r="AK40">
        <f t="shared" si="10"/>
        <v>8.0863093244726659E-6</v>
      </c>
      <c r="AL40">
        <f t="shared" si="11"/>
        <v>-3.99090510163657</v>
      </c>
      <c r="AM40">
        <f t="shared" si="12"/>
        <v>15.099808287835227</v>
      </c>
      <c r="AN40">
        <f t="shared" si="13"/>
        <v>228.0042103293774</v>
      </c>
      <c r="AO40">
        <f t="shared" si="14"/>
        <v>4.3858839209828145E-3</v>
      </c>
      <c r="AQ40" s="3">
        <f t="shared" si="45"/>
        <v>159.20000000000027</v>
      </c>
      <c r="AR40" s="3">
        <f t="shared" si="15"/>
        <v>619.20000000000027</v>
      </c>
      <c r="AS40">
        <f t="shared" si="51"/>
        <v>728.00155504966142</v>
      </c>
      <c r="AV40" s="3">
        <f t="shared" si="16"/>
        <v>1.6512000000000007</v>
      </c>
      <c r="AW40" s="3">
        <f t="shared" si="17"/>
        <v>1.0849501565568724</v>
      </c>
      <c r="AX40" s="4">
        <v>0.8</v>
      </c>
      <c r="AY40" s="5">
        <f t="shared" si="18"/>
        <v>0.22176034268286357</v>
      </c>
      <c r="AZ40" s="5">
        <f t="shared" si="19"/>
        <v>-9.8063385678169648E-2</v>
      </c>
      <c r="BA40" s="5">
        <f t="shared" si="20"/>
        <v>8.327568908604659E-3</v>
      </c>
      <c r="BB40" s="5">
        <f t="shared" si="21"/>
        <v>-2.1417215049990502E-5</v>
      </c>
      <c r="BC40" s="5">
        <f t="shared" si="22"/>
        <v>6.9381646852059321E-3</v>
      </c>
      <c r="BD40" s="5">
        <f t="shared" si="23"/>
        <v>0.96516415302105218</v>
      </c>
      <c r="BE40" s="6">
        <f t="shared" si="24"/>
        <v>0.91698206828740236</v>
      </c>
      <c r="BF40" s="7">
        <f t="shared" si="25"/>
        <v>0.11698206828740232</v>
      </c>
      <c r="BG40" s="5">
        <v>0.85</v>
      </c>
      <c r="BH40" s="5">
        <f t="shared" si="26"/>
        <v>0.20871561664269514</v>
      </c>
      <c r="BI40" s="5">
        <f t="shared" si="27"/>
        <v>-9.2294951226512614E-2</v>
      </c>
      <c r="BJ40" s="5">
        <f t="shared" si="28"/>
        <v>7.3766700366878655E-3</v>
      </c>
      <c r="BK40" s="5">
        <f t="shared" si="29"/>
        <v>-1.5816788372532478E-5</v>
      </c>
      <c r="BL40" s="5">
        <f t="shared" si="30"/>
        <v>6.121886400990843E-3</v>
      </c>
      <c r="BM40" s="5">
        <f t="shared" si="31"/>
        <v>0.96907976619693881</v>
      </c>
      <c r="BN40" s="8">
        <f t="shared" si="32"/>
        <v>0.92103013184070415</v>
      </c>
      <c r="BO40" s="9">
        <f t="shared" si="33"/>
        <v>7.1030131840704169E-2</v>
      </c>
      <c r="BP40" s="10">
        <f t="shared" si="34"/>
        <v>-0.91903872893396421</v>
      </c>
      <c r="BQ40" s="10">
        <f t="shared" si="35"/>
        <v>0.92728741956619753</v>
      </c>
    </row>
    <row r="41" spans="2:69">
      <c r="B41">
        <f t="shared" si="36"/>
        <v>5000</v>
      </c>
      <c r="C41">
        <f t="shared" si="46"/>
        <v>160.00000000000028</v>
      </c>
      <c r="D41">
        <f t="shared" si="0"/>
        <v>620.00000000000023</v>
      </c>
      <c r="E41">
        <f t="shared" si="37"/>
        <v>619.60000000000025</v>
      </c>
      <c r="F41">
        <f t="shared" si="47"/>
        <v>737.12802965635365</v>
      </c>
      <c r="G41">
        <f t="shared" si="38"/>
        <v>732.56479235300753</v>
      </c>
      <c r="H41">
        <f t="shared" si="1"/>
        <v>0.92679791185146621</v>
      </c>
      <c r="I41">
        <f t="shared" si="39"/>
        <v>0.92704266570883187</v>
      </c>
      <c r="K41">
        <f t="shared" si="40"/>
        <v>-7.5875119245028093E-3</v>
      </c>
      <c r="L41">
        <f t="shared" si="41"/>
        <v>4.3858839209828145E-3</v>
      </c>
      <c r="M41">
        <f t="shared" si="48"/>
        <v>456677663.53402132</v>
      </c>
      <c r="N41">
        <f t="shared" si="49"/>
        <v>556835.18265624915</v>
      </c>
      <c r="O41">
        <f t="shared" si="50"/>
        <v>746.21389872894292</v>
      </c>
      <c r="Q41" s="2">
        <f t="shared" si="42"/>
        <v>2.2512738125195644</v>
      </c>
      <c r="R41" s="2">
        <f t="shared" si="2"/>
        <v>3.6078105969864813E-2</v>
      </c>
      <c r="W41" s="2">
        <f t="shared" si="3"/>
        <v>149463.4301667469</v>
      </c>
      <c r="X41" s="2">
        <f t="shared" si="43"/>
        <v>1191.8754300000003</v>
      </c>
      <c r="Y41" s="2">
        <f t="shared" si="4"/>
        <v>125.40188882553511</v>
      </c>
      <c r="Z41" s="2">
        <f t="shared" si="44"/>
        <v>5.228967486935483</v>
      </c>
      <c r="AA41" s="2">
        <f t="shared" si="5"/>
        <v>1.2840776309055488</v>
      </c>
      <c r="AB41" s="2">
        <f t="shared" si="6"/>
        <v>1.0761807117164877</v>
      </c>
      <c r="AC41" s="2">
        <f t="shared" si="7"/>
        <v>1.3495509396685625E-2</v>
      </c>
      <c r="AD41" s="2">
        <f t="shared" si="8"/>
        <v>3336614.3523182888</v>
      </c>
      <c r="AI41">
        <f t="shared" si="9"/>
        <v>1.5120716592538127E-6</v>
      </c>
      <c r="AK41">
        <f t="shared" si="10"/>
        <v>8.1024539331595916E-6</v>
      </c>
      <c r="AL41">
        <f t="shared" si="11"/>
        <v>-3.9908364449868285</v>
      </c>
      <c r="AM41">
        <f t="shared" si="12"/>
        <v>15.099670858615164</v>
      </c>
      <c r="AN41">
        <f t="shared" si="13"/>
        <v>228.000060038512</v>
      </c>
      <c r="AO41">
        <f t="shared" si="14"/>
        <v>4.3859637573388701E-3</v>
      </c>
      <c r="AQ41" s="3">
        <f t="shared" si="45"/>
        <v>160.00000000000028</v>
      </c>
      <c r="AR41" s="3">
        <f t="shared" si="15"/>
        <v>620.00000000000023</v>
      </c>
      <c r="AS41">
        <f t="shared" si="51"/>
        <v>737.12802965635365</v>
      </c>
      <c r="AV41" s="3">
        <f t="shared" si="16"/>
        <v>1.653333333333334</v>
      </c>
      <c r="AW41" s="3">
        <f t="shared" si="17"/>
        <v>1.0985514599945658</v>
      </c>
      <c r="AX41" s="4">
        <v>0.8</v>
      </c>
      <c r="AY41" s="5">
        <f t="shared" si="18"/>
        <v>0.22425067605735838</v>
      </c>
      <c r="AZ41" s="5">
        <f t="shared" si="19"/>
        <v>-9.8870667069709831E-2</v>
      </c>
      <c r="BA41" s="5">
        <f t="shared" si="20"/>
        <v>8.5358090468854331E-3</v>
      </c>
      <c r="BB41" s="5">
        <f t="shared" si="21"/>
        <v>-2.2623086247574678E-5</v>
      </c>
      <c r="BC41" s="5">
        <f t="shared" si="22"/>
        <v>7.0729060228951453E-3</v>
      </c>
      <c r="BD41" s="5">
        <f t="shared" si="23"/>
        <v>0.96439153356632079</v>
      </c>
      <c r="BE41" s="6">
        <f t="shared" si="24"/>
        <v>0.91650881574961351</v>
      </c>
      <c r="BF41" s="7">
        <f t="shared" si="25"/>
        <v>0.11650881574961347</v>
      </c>
      <c r="BG41" s="5">
        <v>0.85</v>
      </c>
      <c r="BH41" s="5">
        <f t="shared" si="26"/>
        <v>0.21105945981869023</v>
      </c>
      <c r="BI41" s="5">
        <f t="shared" si="27"/>
        <v>-9.3054745477373954E-2</v>
      </c>
      <c r="BJ41" s="5">
        <f t="shared" si="28"/>
        <v>7.5611318892825968E-3</v>
      </c>
      <c r="BK41" s="5">
        <f t="shared" si="29"/>
        <v>-1.670733410839039E-5</v>
      </c>
      <c r="BL41" s="5">
        <f t="shared" si="30"/>
        <v>6.2402414154873569E-3</v>
      </c>
      <c r="BM41" s="5">
        <f t="shared" si="31"/>
        <v>0.96839256175378852</v>
      </c>
      <c r="BN41" s="8">
        <f t="shared" si="32"/>
        <v>0.92056609711632309</v>
      </c>
      <c r="BO41" s="9">
        <f t="shared" si="33"/>
        <v>7.0566097116323112E-2</v>
      </c>
      <c r="BP41" s="10">
        <f t="shared" si="34"/>
        <v>-0.91885437266580838</v>
      </c>
      <c r="BQ41" s="10">
        <f t="shared" si="35"/>
        <v>0.92679791185146621</v>
      </c>
    </row>
    <row r="42" spans="2:69">
      <c r="B42">
        <f t="shared" si="36"/>
        <v>5200</v>
      </c>
      <c r="C42">
        <f t="shared" si="46"/>
        <v>160.8000000000003</v>
      </c>
      <c r="D42">
        <f t="shared" si="0"/>
        <v>620.8000000000003</v>
      </c>
      <c r="E42">
        <f t="shared" si="37"/>
        <v>620.40000000000032</v>
      </c>
      <c r="F42">
        <f t="shared" si="47"/>
        <v>746.21389872894292</v>
      </c>
      <c r="G42">
        <f t="shared" si="38"/>
        <v>741.67096419264828</v>
      </c>
      <c r="H42">
        <f t="shared" si="1"/>
        <v>0.92632171520673656</v>
      </c>
      <c r="I42">
        <f t="shared" si="39"/>
        <v>0.92655981352910133</v>
      </c>
      <c r="K42">
        <f t="shared" si="40"/>
        <v>-7.5816768316044544E-3</v>
      </c>
      <c r="L42">
        <f t="shared" si="41"/>
        <v>4.3859637573388701E-3</v>
      </c>
      <c r="M42">
        <f t="shared" si="48"/>
        <v>457389206.25309616</v>
      </c>
      <c r="N42">
        <f t="shared" si="49"/>
        <v>570419.33897370135</v>
      </c>
      <c r="O42">
        <f t="shared" si="50"/>
        <v>755.26110648814779</v>
      </c>
      <c r="Q42" s="2">
        <f t="shared" si="42"/>
        <v>2.2772562902354516</v>
      </c>
      <c r="R42" s="2">
        <f t="shared" si="2"/>
        <v>3.6494491830696342E-2</v>
      </c>
      <c r="W42" s="2">
        <f t="shared" si="3"/>
        <v>149752.80752251396</v>
      </c>
      <c r="X42" s="2">
        <f t="shared" si="43"/>
        <v>1192.6754300000002</v>
      </c>
      <c r="Y42" s="2">
        <f t="shared" si="4"/>
        <v>125.56040290233356</v>
      </c>
      <c r="Z42" s="2">
        <f t="shared" si="44"/>
        <v>5.2269172707731943</v>
      </c>
      <c r="AA42" s="2">
        <f t="shared" si="5"/>
        <v>1.2845335989800417</v>
      </c>
      <c r="AB42" s="2">
        <f t="shared" si="6"/>
        <v>1.07720170640434</v>
      </c>
      <c r="AC42" s="2">
        <f t="shared" si="7"/>
        <v>1.3525388026321018E-2</v>
      </c>
      <c r="AD42" s="2">
        <f t="shared" si="8"/>
        <v>3329243.5128070642</v>
      </c>
      <c r="AI42">
        <f t="shared" si="9"/>
        <v>1.5154193379342567E-6</v>
      </c>
      <c r="AK42">
        <f t="shared" si="10"/>
        <v>8.1185627523836696E-6</v>
      </c>
      <c r="AL42">
        <f t="shared" si="11"/>
        <v>-3.9907679513515553</v>
      </c>
      <c r="AM42">
        <f t="shared" si="12"/>
        <v>15.099533718256115</v>
      </c>
      <c r="AN42">
        <f t="shared" si="13"/>
        <v>227.99591850875333</v>
      </c>
      <c r="AO42">
        <f t="shared" si="14"/>
        <v>4.3860434280607857E-3</v>
      </c>
      <c r="AQ42" s="3">
        <f t="shared" si="45"/>
        <v>160.8000000000003</v>
      </c>
      <c r="AR42" s="3">
        <f t="shared" si="15"/>
        <v>620.8000000000003</v>
      </c>
      <c r="AS42">
        <f t="shared" si="51"/>
        <v>746.21389872894292</v>
      </c>
      <c r="AV42" s="3">
        <f t="shared" si="16"/>
        <v>1.6554666666666675</v>
      </c>
      <c r="AW42" s="3">
        <f t="shared" si="17"/>
        <v>1.1120922484783053</v>
      </c>
      <c r="AX42" s="4">
        <v>0.8</v>
      </c>
      <c r="AY42" s="5">
        <f t="shared" si="18"/>
        <v>0.2267222538628148</v>
      </c>
      <c r="AZ42" s="5">
        <f t="shared" si="19"/>
        <v>-9.9664230228703757E-2</v>
      </c>
      <c r="BA42" s="5">
        <f t="shared" si="20"/>
        <v>8.7455612543498127E-3</v>
      </c>
      <c r="BB42" s="5">
        <f t="shared" si="21"/>
        <v>-2.3872269478965904E-5</v>
      </c>
      <c r="BC42" s="5">
        <f t="shared" si="22"/>
        <v>7.2073445281193842E-3</v>
      </c>
      <c r="BD42" s="5">
        <f t="shared" si="23"/>
        <v>0.96361682400104876</v>
      </c>
      <c r="BE42" s="6">
        <f t="shared" si="24"/>
        <v>0.91605032173879275</v>
      </c>
      <c r="BF42" s="7">
        <f t="shared" si="25"/>
        <v>0.11605032173879271</v>
      </c>
      <c r="BG42" s="5">
        <v>0.85</v>
      </c>
      <c r="BH42" s="5">
        <f t="shared" si="26"/>
        <v>0.21338565069441395</v>
      </c>
      <c r="BI42" s="5">
        <f t="shared" si="27"/>
        <v>-9.3801628450544725E-2</v>
      </c>
      <c r="BJ42" s="5">
        <f t="shared" si="28"/>
        <v>7.7469331526420502E-3</v>
      </c>
      <c r="BK42" s="5">
        <f t="shared" si="29"/>
        <v>-1.762986613523486E-5</v>
      </c>
      <c r="BL42" s="5">
        <f t="shared" si="30"/>
        <v>6.358307863035398E-3</v>
      </c>
      <c r="BM42" s="5">
        <f t="shared" si="31"/>
        <v>0.96770343514298707</v>
      </c>
      <c r="BN42" s="8">
        <f t="shared" si="32"/>
        <v>0.92011589092898849</v>
      </c>
      <c r="BO42" s="9">
        <f t="shared" si="33"/>
        <v>7.0115890928988511E-2</v>
      </c>
      <c r="BP42" s="10">
        <f t="shared" si="34"/>
        <v>-0.91868861619608511</v>
      </c>
      <c r="BQ42" s="10">
        <f t="shared" si="35"/>
        <v>0.92632171520673656</v>
      </c>
    </row>
    <row r="43" spans="2:69">
      <c r="B43">
        <f t="shared" si="36"/>
        <v>5400</v>
      </c>
      <c r="C43">
        <f t="shared" si="46"/>
        <v>161.60000000000031</v>
      </c>
      <c r="D43">
        <f t="shared" si="0"/>
        <v>621.60000000000036</v>
      </c>
      <c r="E43">
        <f t="shared" si="37"/>
        <v>621.20000000000027</v>
      </c>
      <c r="F43">
        <f t="shared" si="47"/>
        <v>755.26110648814779</v>
      </c>
      <c r="G43">
        <f t="shared" si="38"/>
        <v>750.73750260854536</v>
      </c>
      <c r="H43">
        <f t="shared" si="1"/>
        <v>0.9258585110607922</v>
      </c>
      <c r="I43">
        <f t="shared" si="39"/>
        <v>0.92609011313376444</v>
      </c>
      <c r="K43">
        <f t="shared" si="40"/>
        <v>-7.575753292630133E-3</v>
      </c>
      <c r="L43">
        <f t="shared" si="41"/>
        <v>4.3860434280607857E-3</v>
      </c>
      <c r="M43">
        <f t="shared" si="48"/>
        <v>458113079.51291716</v>
      </c>
      <c r="N43">
        <f t="shared" si="49"/>
        <v>584110.92294335575</v>
      </c>
      <c r="O43">
        <f t="shared" si="50"/>
        <v>764.27149818854014</v>
      </c>
      <c r="Q43" s="2">
        <f t="shared" si="42"/>
        <v>2.3030513502522454</v>
      </c>
      <c r="R43" s="2">
        <f t="shared" si="2"/>
        <v>3.6907874202760343E-2</v>
      </c>
      <c r="W43" s="2">
        <f t="shared" si="3"/>
        <v>150042.37139288339</v>
      </c>
      <c r="X43" s="2">
        <f t="shared" si="43"/>
        <v>1193.4754300000004</v>
      </c>
      <c r="Y43" s="2">
        <f t="shared" si="4"/>
        <v>125.7188607501399</v>
      </c>
      <c r="Z43" s="2">
        <f t="shared" si="44"/>
        <v>5.2248723318725858</v>
      </c>
      <c r="AA43" s="2">
        <f t="shared" si="5"/>
        <v>1.2849883933915371</v>
      </c>
      <c r="AB43" s="2">
        <f t="shared" si="6"/>
        <v>1.0782160324858501</v>
      </c>
      <c r="AC43" s="2">
        <f t="shared" si="7"/>
        <v>1.3555209124665691E-2</v>
      </c>
      <c r="AD43" s="2">
        <f t="shared" si="8"/>
        <v>3321919.2659219215</v>
      </c>
      <c r="AI43">
        <f t="shared" si="9"/>
        <v>1.5187605706605945E-6</v>
      </c>
      <c r="AK43">
        <f t="shared" si="10"/>
        <v>8.1346369387712082E-6</v>
      </c>
      <c r="AL43">
        <f t="shared" si="11"/>
        <v>-3.9906996157386057</v>
      </c>
      <c r="AM43">
        <f t="shared" si="12"/>
        <v>15.099396857074511</v>
      </c>
      <c r="AN43">
        <f t="shared" si="13"/>
        <v>227.99178544743162</v>
      </c>
      <c r="AO43">
        <f t="shared" si="14"/>
        <v>4.3861229387607533E-3</v>
      </c>
      <c r="AQ43" s="3">
        <f t="shared" si="45"/>
        <v>161.60000000000031</v>
      </c>
      <c r="AR43" s="3">
        <f t="shared" si="15"/>
        <v>621.60000000000036</v>
      </c>
      <c r="AS43">
        <f t="shared" si="51"/>
        <v>755.26110648814779</v>
      </c>
      <c r="AV43" s="3">
        <f t="shared" si="16"/>
        <v>1.6576000000000011</v>
      </c>
      <c r="AW43" s="3">
        <f t="shared" si="17"/>
        <v>1.1255754195054364</v>
      </c>
      <c r="AX43" s="4">
        <v>0.8</v>
      </c>
      <c r="AY43" s="5">
        <f t="shared" si="18"/>
        <v>0.22917573846711178</v>
      </c>
      <c r="AZ43" s="5">
        <f t="shared" si="19"/>
        <v>-0.10044446777564853</v>
      </c>
      <c r="BA43" s="5">
        <f t="shared" si="20"/>
        <v>8.9568319658649143E-3</v>
      </c>
      <c r="BB43" s="5">
        <f t="shared" si="21"/>
        <v>-2.5165554603721082E-5</v>
      </c>
      <c r="BC43" s="5">
        <f t="shared" si="22"/>
        <v>7.3414858238942454E-3</v>
      </c>
      <c r="BD43" s="5">
        <f t="shared" si="23"/>
        <v>0.96284001268194419</v>
      </c>
      <c r="BE43" s="6">
        <f t="shared" si="24"/>
        <v>0.91560620604860277</v>
      </c>
      <c r="BF43" s="7">
        <f t="shared" si="25"/>
        <v>0.11560620604860272</v>
      </c>
      <c r="BG43" s="5">
        <v>0.85</v>
      </c>
      <c r="BH43" s="5">
        <f t="shared" si="26"/>
        <v>0.21569481267492877</v>
      </c>
      <c r="BI43" s="5">
        <f t="shared" si="27"/>
        <v>-9.4535969671198636E-2</v>
      </c>
      <c r="BJ43" s="5">
        <f t="shared" si="28"/>
        <v>7.9340795268561196E-3</v>
      </c>
      <c r="BK43" s="5">
        <f t="shared" si="29"/>
        <v>-1.8584967770804704E-5</v>
      </c>
      <c r="BL43" s="5">
        <f t="shared" si="30"/>
        <v>6.476090707321836E-3</v>
      </c>
      <c r="BM43" s="5">
        <f t="shared" si="31"/>
        <v>0.96701237543760454</v>
      </c>
      <c r="BN43" s="8">
        <f t="shared" si="32"/>
        <v>0.91967915468186501</v>
      </c>
      <c r="BO43" s="9">
        <f t="shared" si="33"/>
        <v>6.967915468186503E-2</v>
      </c>
      <c r="BP43" s="10">
        <f t="shared" si="34"/>
        <v>-0.91854102733475507</v>
      </c>
      <c r="BQ43" s="10">
        <f t="shared" si="35"/>
        <v>0.9258585110607922</v>
      </c>
    </row>
    <row r="44" spans="2:69">
      <c r="B44">
        <f t="shared" si="36"/>
        <v>5600</v>
      </c>
      <c r="C44">
        <f t="shared" si="46"/>
        <v>162.40000000000032</v>
      </c>
      <c r="D44">
        <f t="shared" si="0"/>
        <v>622.40000000000032</v>
      </c>
      <c r="E44">
        <f t="shared" si="37"/>
        <v>622.00000000000034</v>
      </c>
      <c r="F44">
        <f t="shared" si="47"/>
        <v>764.27149818854014</v>
      </c>
      <c r="G44">
        <f t="shared" si="38"/>
        <v>759.76630233834396</v>
      </c>
      <c r="H44">
        <f t="shared" si="1"/>
        <v>0.92540799547819208</v>
      </c>
      <c r="I44">
        <f t="shared" si="39"/>
        <v>0.9256332532694922</v>
      </c>
      <c r="K44">
        <f t="shared" si="40"/>
        <v>-7.5697438734461005E-3</v>
      </c>
      <c r="L44">
        <f t="shared" si="41"/>
        <v>4.3861229387607533E-3</v>
      </c>
      <c r="M44">
        <f t="shared" si="48"/>
        <v>458849053.83186352</v>
      </c>
      <c r="N44">
        <f t="shared" si="49"/>
        <v>597910.65529941872</v>
      </c>
      <c r="O44">
        <f t="shared" si="50"/>
        <v>773.24682689256394</v>
      </c>
      <c r="Q44" s="2">
        <f t="shared" si="42"/>
        <v>2.3286647132627474</v>
      </c>
      <c r="R44" s="2">
        <f t="shared" si="2"/>
        <v>3.7318344763826082E-2</v>
      </c>
      <c r="W44" s="2">
        <f t="shared" si="3"/>
        <v>150332.12165779431</v>
      </c>
      <c r="X44" s="2">
        <f t="shared" si="43"/>
        <v>1194.2754300000004</v>
      </c>
      <c r="Y44" s="2">
        <f t="shared" si="4"/>
        <v>125.87726238142089</v>
      </c>
      <c r="Z44" s="2">
        <f t="shared" si="44"/>
        <v>5.2228326498843174</v>
      </c>
      <c r="AA44" s="2">
        <f t="shared" si="5"/>
        <v>1.285442018665728</v>
      </c>
      <c r="AB44" s="2">
        <f t="shared" si="6"/>
        <v>1.0792238742036773</v>
      </c>
      <c r="AC44" s="2">
        <f t="shared" si="7"/>
        <v>1.3584974678142986E-2</v>
      </c>
      <c r="AD44" s="2">
        <f t="shared" si="8"/>
        <v>3314640.7271024017</v>
      </c>
      <c r="AI44">
        <f t="shared" si="9"/>
        <v>1.5220955799968167E-6</v>
      </c>
      <c r="AK44">
        <f t="shared" si="10"/>
        <v>8.15067759231931E-6</v>
      </c>
      <c r="AL44">
        <f t="shared" si="11"/>
        <v>-3.9906314333998187</v>
      </c>
      <c r="AM44">
        <f t="shared" si="12"/>
        <v>15.099260265863304</v>
      </c>
      <c r="AN44">
        <f t="shared" si="13"/>
        <v>227.98766057627836</v>
      </c>
      <c r="AO44">
        <f t="shared" si="14"/>
        <v>4.3862022947747546E-3</v>
      </c>
      <c r="AQ44" s="3">
        <f t="shared" si="45"/>
        <v>162.40000000000032</v>
      </c>
      <c r="AR44" s="3">
        <f t="shared" si="15"/>
        <v>622.40000000000032</v>
      </c>
      <c r="AS44">
        <f t="shared" si="51"/>
        <v>764.27149818854014</v>
      </c>
      <c r="AV44" s="3">
        <f t="shared" si="16"/>
        <v>1.6597333333333342</v>
      </c>
      <c r="AW44" s="3">
        <f t="shared" si="17"/>
        <v>1.1390037230827721</v>
      </c>
      <c r="AX44" s="4">
        <v>0.8</v>
      </c>
      <c r="AY44" s="5">
        <f t="shared" si="18"/>
        <v>0.23161175884103996</v>
      </c>
      <c r="AZ44" s="5">
        <f t="shared" si="19"/>
        <v>-0.10121175357550571</v>
      </c>
      <c r="BA44" s="5">
        <f t="shared" si="20"/>
        <v>9.1696275696833661E-3</v>
      </c>
      <c r="BB44" s="5">
        <f t="shared" si="21"/>
        <v>-2.650373764074575E-5</v>
      </c>
      <c r="BC44" s="5">
        <f t="shared" si="22"/>
        <v>7.4753354227004212E-3</v>
      </c>
      <c r="BD44" s="5">
        <f t="shared" si="23"/>
        <v>0.96206108835223447</v>
      </c>
      <c r="BE44" s="6">
        <f t="shared" si="24"/>
        <v>0.91517610706437957</v>
      </c>
      <c r="BF44" s="7">
        <f t="shared" si="25"/>
        <v>0.11517610706437953</v>
      </c>
      <c r="BG44" s="5">
        <v>0.85</v>
      </c>
      <c r="BH44" s="5">
        <f t="shared" si="26"/>
        <v>0.21798753773274351</v>
      </c>
      <c r="BI44" s="5">
        <f t="shared" si="27"/>
        <v>-9.5258121012240682E-2</v>
      </c>
      <c r="BJ44" s="5">
        <f t="shared" si="28"/>
        <v>8.1225766707229818E-3</v>
      </c>
      <c r="BK44" s="5">
        <f t="shared" si="29"/>
        <v>-1.9573226881568095E-5</v>
      </c>
      <c r="BL44" s="5">
        <f t="shared" si="30"/>
        <v>6.593594812993599E-3</v>
      </c>
      <c r="BM44" s="5">
        <f t="shared" si="31"/>
        <v>0.96631937204838325</v>
      </c>
      <c r="BN44" s="8">
        <f t="shared" si="32"/>
        <v>0.91925554728459735</v>
      </c>
      <c r="BO44" s="9">
        <f t="shared" si="33"/>
        <v>6.9255547284597374E-2</v>
      </c>
      <c r="BP44" s="10">
        <f t="shared" si="34"/>
        <v>-0.91841119559564433</v>
      </c>
      <c r="BQ44" s="10">
        <f t="shared" si="35"/>
        <v>0.92540799547819208</v>
      </c>
    </row>
    <row r="45" spans="2:69">
      <c r="B45">
        <f t="shared" si="36"/>
        <v>5800</v>
      </c>
      <c r="C45">
        <f t="shared" si="46"/>
        <v>163.20000000000033</v>
      </c>
      <c r="D45">
        <f t="shared" si="0"/>
        <v>623.20000000000027</v>
      </c>
      <c r="E45">
        <f t="shared" si="37"/>
        <v>622.8000000000003</v>
      </c>
      <c r="F45">
        <f t="shared" si="47"/>
        <v>773.24682689256394</v>
      </c>
      <c r="G45">
        <f t="shared" si="38"/>
        <v>768.7591625405521</v>
      </c>
      <c r="H45">
        <f t="shared" si="1"/>
        <v>0.92496987819624621</v>
      </c>
      <c r="I45">
        <f t="shared" si="39"/>
        <v>0.92518893683721914</v>
      </c>
      <c r="K45">
        <f t="shared" si="40"/>
        <v>-7.5636510289681441E-3</v>
      </c>
      <c r="L45">
        <f t="shared" si="41"/>
        <v>4.3862022947747546E-3</v>
      </c>
      <c r="M45">
        <f t="shared" si="48"/>
        <v>459596911.77918297</v>
      </c>
      <c r="N45">
        <f t="shared" si="49"/>
        <v>611819.25574265455</v>
      </c>
      <c r="O45">
        <f t="shared" si="50"/>
        <v>782.1887596626882</v>
      </c>
      <c r="Q45" s="2">
        <f t="shared" si="42"/>
        <v>2.3541018120474031</v>
      </c>
      <c r="R45" s="2">
        <f t="shared" si="2"/>
        <v>3.7725990577682743E-2</v>
      </c>
      <c r="W45" s="2">
        <f t="shared" si="3"/>
        <v>150622.05819741741</v>
      </c>
      <c r="X45" s="2">
        <f t="shared" si="43"/>
        <v>1195.0754300000003</v>
      </c>
      <c r="Y45" s="2">
        <f t="shared" si="4"/>
        <v>126.03560780880365</v>
      </c>
      <c r="Z45" s="2">
        <f t="shared" si="44"/>
        <v>5.2207982045635415</v>
      </c>
      <c r="AA45" s="2">
        <f t="shared" si="5"/>
        <v>1.2858944793050686</v>
      </c>
      <c r="AB45" s="2">
        <f t="shared" si="6"/>
        <v>1.0802254072237587</v>
      </c>
      <c r="AC45" s="2">
        <f t="shared" si="7"/>
        <v>1.3614686576995888E-2</v>
      </c>
      <c r="AD45" s="2">
        <f t="shared" si="8"/>
        <v>3307407.0482762009</v>
      </c>
      <c r="AI45">
        <f t="shared" si="9"/>
        <v>1.5254245777306201E-6</v>
      </c>
      <c r="AK45">
        <f t="shared" si="10"/>
        <v>8.1666857600763889E-6</v>
      </c>
      <c r="AL45">
        <f t="shared" si="11"/>
        <v>-3.9905633998151684</v>
      </c>
      <c r="AM45">
        <f t="shared" si="12"/>
        <v>15.099123935860968</v>
      </c>
      <c r="AN45">
        <f t="shared" si="13"/>
        <v>227.98354363048961</v>
      </c>
      <c r="AO45">
        <f t="shared" si="14"/>
        <v>4.3862815011805265E-3</v>
      </c>
      <c r="AQ45" s="3">
        <f t="shared" si="45"/>
        <v>163.20000000000033</v>
      </c>
      <c r="AR45" s="3">
        <f t="shared" si="15"/>
        <v>623.20000000000027</v>
      </c>
      <c r="AS45">
        <f t="shared" si="51"/>
        <v>773.24682689256394</v>
      </c>
      <c r="AV45" s="3">
        <f t="shared" si="16"/>
        <v>1.6618666666666675</v>
      </c>
      <c r="AW45" s="3">
        <f t="shared" si="17"/>
        <v>1.1523797718220028</v>
      </c>
      <c r="AX45" s="4">
        <v>0.8</v>
      </c>
      <c r="AY45" s="5">
        <f t="shared" si="18"/>
        <v>0.23403091282288535</v>
      </c>
      <c r="AZ45" s="5">
        <f t="shared" si="19"/>
        <v>-0.1019664439769238</v>
      </c>
      <c r="BA45" s="5">
        <f t="shared" si="20"/>
        <v>9.3839544092445427E-3</v>
      </c>
      <c r="BB45" s="5">
        <f t="shared" si="21"/>
        <v>-2.7887620876099762E-5</v>
      </c>
      <c r="BC45" s="5">
        <f t="shared" si="22"/>
        <v>7.6088987302008583E-3</v>
      </c>
      <c r="BD45" s="5">
        <f t="shared" si="23"/>
        <v>0.96128004012910206</v>
      </c>
      <c r="BE45" s="6">
        <f t="shared" si="24"/>
        <v>0.91475968052990264</v>
      </c>
      <c r="BF45" s="7">
        <f t="shared" si="25"/>
        <v>0.1147596805299026</v>
      </c>
      <c r="BG45" s="5">
        <v>0.85</v>
      </c>
      <c r="BH45" s="5">
        <f t="shared" si="26"/>
        <v>0.22026438853918626</v>
      </c>
      <c r="BI45" s="5">
        <f t="shared" si="27"/>
        <v>-9.5968417860634175E-2</v>
      </c>
      <c r="BJ45" s="5">
        <f t="shared" si="28"/>
        <v>8.312430203344651E-3</v>
      </c>
      <c r="BK45" s="5">
        <f t="shared" si="29"/>
        <v>-2.0595235962337907E-5</v>
      </c>
      <c r="BL45" s="5">
        <f t="shared" si="30"/>
        <v>6.7108249489890477E-3</v>
      </c>
      <c r="BM45" s="5">
        <f t="shared" si="31"/>
        <v>0.96562441471267313</v>
      </c>
      <c r="BN45" s="8">
        <f t="shared" si="32"/>
        <v>0.91884474399227956</v>
      </c>
      <c r="BO45" s="9">
        <f t="shared" si="33"/>
        <v>6.8844743992279578E-2</v>
      </c>
      <c r="BP45" s="10">
        <f t="shared" si="34"/>
        <v>-0.9182987307524616</v>
      </c>
      <c r="BQ45" s="10">
        <f t="shared" si="35"/>
        <v>0.92496987819624621</v>
      </c>
    </row>
    <row r="46" spans="2:69">
      <c r="B46">
        <f t="shared" si="36"/>
        <v>6000</v>
      </c>
      <c r="C46">
        <f t="shared" si="46"/>
        <v>164.00000000000034</v>
      </c>
      <c r="D46">
        <f t="shared" si="0"/>
        <v>624.00000000000034</v>
      </c>
      <c r="E46">
        <f t="shared" si="37"/>
        <v>623.60000000000036</v>
      </c>
      <c r="F46">
        <f t="shared" si="47"/>
        <v>782.1887596626882</v>
      </c>
      <c r="G46">
        <f t="shared" si="38"/>
        <v>777.71779327762601</v>
      </c>
      <c r="H46">
        <f t="shared" si="1"/>
        <v>0.92454388174254853</v>
      </c>
      <c r="I46">
        <f t="shared" si="39"/>
        <v>0.92475687996939737</v>
      </c>
      <c r="K46">
        <f t="shared" si="40"/>
        <v>-7.5574771102759558E-3</v>
      </c>
      <c r="L46">
        <f t="shared" si="41"/>
        <v>4.3862815011805265E-3</v>
      </c>
      <c r="M46">
        <f t="shared" si="48"/>
        <v>460356447.16850984</v>
      </c>
      <c r="N46">
        <f t="shared" si="49"/>
        <v>625837.44305004075</v>
      </c>
      <c r="O46">
        <f t="shared" si="50"/>
        <v>791.09888323144583</v>
      </c>
      <c r="Q46" s="2">
        <f t="shared" si="42"/>
        <v>2.3793678106946237</v>
      </c>
      <c r="R46" s="2">
        <f t="shared" si="2"/>
        <v>3.8130894402157431E-2</v>
      </c>
      <c r="W46" s="2">
        <f t="shared" si="3"/>
        <v>150912.18089215417</v>
      </c>
      <c r="X46" s="2">
        <f t="shared" si="43"/>
        <v>1195.8754300000005</v>
      </c>
      <c r="Y46" s="2">
        <f t="shared" si="4"/>
        <v>126.19389704507442</v>
      </c>
      <c r="Z46" s="2">
        <f t="shared" si="44"/>
        <v>5.2187689757692297</v>
      </c>
      <c r="AA46" s="2">
        <f t="shared" si="5"/>
        <v>1.2863457797889235</v>
      </c>
      <c r="AB46" s="2">
        <f t="shared" si="6"/>
        <v>1.0812207991764393</v>
      </c>
      <c r="AC46" s="2">
        <f t="shared" si="7"/>
        <v>1.3644346621426469E-2</v>
      </c>
      <c r="AD46" s="2">
        <f t="shared" si="8"/>
        <v>3300217.4156229352</v>
      </c>
      <c r="AI46">
        <f t="shared" si="9"/>
        <v>1.5287477655612849E-6</v>
      </c>
      <c r="AK46">
        <f t="shared" si="10"/>
        <v>8.1826624395181625E-6</v>
      </c>
      <c r="AL46">
        <f t="shared" si="11"/>
        <v>-3.9904955106782243</v>
      </c>
      <c r="AM46">
        <f t="shared" si="12"/>
        <v>15.098987858723065</v>
      </c>
      <c r="AN46">
        <f t="shared" si="13"/>
        <v>227.97943435786652</v>
      </c>
      <c r="AO46">
        <f t="shared" si="14"/>
        <v>4.3863605628140494E-3</v>
      </c>
      <c r="AQ46" s="3">
        <f t="shared" si="45"/>
        <v>164.00000000000034</v>
      </c>
      <c r="AR46" s="3">
        <f t="shared" si="15"/>
        <v>624.00000000000034</v>
      </c>
      <c r="AS46">
        <f t="shared" si="51"/>
        <v>782.1887596626882</v>
      </c>
      <c r="AV46" s="3">
        <f t="shared" si="16"/>
        <v>1.6640000000000008</v>
      </c>
      <c r="AW46" s="3">
        <f t="shared" si="17"/>
        <v>1.1657060501679406</v>
      </c>
      <c r="AX46" s="4">
        <v>0.8</v>
      </c>
      <c r="AY46" s="5">
        <f t="shared" si="18"/>
        <v>0.2364337691897114</v>
      </c>
      <c r="AZ46" s="5">
        <f t="shared" si="19"/>
        <v>-0.10270887894732025</v>
      </c>
      <c r="BA46" s="5">
        <f t="shared" si="20"/>
        <v>9.5998187848335657E-3</v>
      </c>
      <c r="BB46" s="5">
        <f t="shared" si="21"/>
        <v>-2.9318012966622431E-5</v>
      </c>
      <c r="BC46" s="5">
        <f t="shared" si="22"/>
        <v>7.7421810487471607E-3</v>
      </c>
      <c r="BD46" s="5">
        <f t="shared" si="23"/>
        <v>0.96049685749192615</v>
      </c>
      <c r="BE46" s="6">
        <f t="shared" si="24"/>
        <v>0.91435659841793504</v>
      </c>
      <c r="BF46" s="7">
        <f t="shared" si="25"/>
        <v>0.114356598417935</v>
      </c>
      <c r="BG46" s="5">
        <v>0.85</v>
      </c>
      <c r="BH46" s="5">
        <f t="shared" si="26"/>
        <v>0.22252590041384604</v>
      </c>
      <c r="BI46" s="5">
        <f t="shared" si="27"/>
        <v>-9.6667180185713186E-2</v>
      </c>
      <c r="BJ46" s="5">
        <f t="shared" si="28"/>
        <v>8.5036457055965159E-3</v>
      </c>
      <c r="BK46" s="5">
        <f t="shared" si="29"/>
        <v>-2.1651592212799667E-5</v>
      </c>
      <c r="BL46" s="5">
        <f t="shared" si="30"/>
        <v>6.8277857916813388E-3</v>
      </c>
      <c r="BM46" s="5">
        <f t="shared" si="31"/>
        <v>0.9649274934840808</v>
      </c>
      <c r="BN46" s="8">
        <f t="shared" si="32"/>
        <v>0.91844643534210935</v>
      </c>
      <c r="BO46" s="9">
        <f t="shared" si="33"/>
        <v>6.8446435342109369E-2</v>
      </c>
      <c r="BP46" s="10">
        <f t="shared" si="34"/>
        <v>-0.91820326151651377</v>
      </c>
      <c r="BQ46" s="10">
        <f t="shared" si="35"/>
        <v>0.92454388174254853</v>
      </c>
    </row>
    <row r="47" spans="2:69">
      <c r="B47">
        <f t="shared" si="36"/>
        <v>6200</v>
      </c>
      <c r="C47">
        <f t="shared" si="46"/>
        <v>164.80000000000035</v>
      </c>
      <c r="D47">
        <f t="shared" si="0"/>
        <v>624.80000000000041</v>
      </c>
      <c r="E47">
        <f t="shared" si="37"/>
        <v>624.40000000000032</v>
      </c>
      <c r="F47">
        <f t="shared" si="47"/>
        <v>791.09888323144583</v>
      </c>
      <c r="G47">
        <f t="shared" si="38"/>
        <v>786.64382144706701</v>
      </c>
      <c r="H47">
        <f t="shared" si="1"/>
        <v>0.92412974062493047</v>
      </c>
      <c r="I47">
        <f t="shared" si="39"/>
        <v>0.92433681118373956</v>
      </c>
      <c r="K47">
        <f t="shared" si="40"/>
        <v>-7.5512243711414974E-3</v>
      </c>
      <c r="L47">
        <f t="shared" si="41"/>
        <v>4.3863605628140494E-3</v>
      </c>
      <c r="M47">
        <f t="shared" si="48"/>
        <v>461127464.31917989</v>
      </c>
      <c r="N47">
        <f t="shared" si="49"/>
        <v>639965.9351765</v>
      </c>
      <c r="O47">
        <f t="shared" si="50"/>
        <v>799.97870920200126</v>
      </c>
      <c r="Q47" s="2">
        <f t="shared" si="42"/>
        <v>2.4044676222106047</v>
      </c>
      <c r="R47" s="2">
        <f t="shared" si="2"/>
        <v>3.8533134971323796E-2</v>
      </c>
      <c r="W47" s="2">
        <f t="shared" si="3"/>
        <v>151202.4896226362</v>
      </c>
      <c r="X47" s="2">
        <f t="shared" si="43"/>
        <v>1196.6754300000005</v>
      </c>
      <c r="Y47" s="2">
        <f t="shared" si="4"/>
        <v>126.35213010317773</v>
      </c>
      <c r="Z47" s="2">
        <f t="shared" si="44"/>
        <v>5.2167449434635067</v>
      </c>
      <c r="AA47" s="2">
        <f t="shared" si="5"/>
        <v>1.2867959245737162</v>
      </c>
      <c r="AB47" s="2">
        <f t="shared" si="6"/>
        <v>1.0822102101539335</v>
      </c>
      <c r="AC47" s="2">
        <f t="shared" si="7"/>
        <v>1.3673956527235713E-2</v>
      </c>
      <c r="AD47" s="2">
        <f t="shared" si="8"/>
        <v>3293071.0475156512</v>
      </c>
      <c r="AI47">
        <f t="shared" si="9"/>
        <v>1.5320653357315765E-6</v>
      </c>
      <c r="AK47">
        <f t="shared" si="10"/>
        <v>8.1986085816487733E-6</v>
      </c>
      <c r="AL47">
        <f t="shared" si="11"/>
        <v>-3.9904277618827986</v>
      </c>
      <c r="AM47">
        <f t="shared" si="12"/>
        <v>15.098852026496139</v>
      </c>
      <c r="AN47">
        <f t="shared" si="13"/>
        <v>227.97533251802659</v>
      </c>
      <c r="AO47">
        <f t="shared" si="14"/>
        <v>4.3864394842846755E-3</v>
      </c>
      <c r="AQ47" s="3">
        <f t="shared" si="45"/>
        <v>164.80000000000035</v>
      </c>
      <c r="AR47" s="3">
        <f t="shared" si="15"/>
        <v>624.80000000000041</v>
      </c>
      <c r="AS47">
        <f t="shared" si="51"/>
        <v>791.09888323144583</v>
      </c>
      <c r="AV47" s="3">
        <f t="shared" si="16"/>
        <v>1.6661333333333344</v>
      </c>
      <c r="AW47" s="3">
        <f t="shared" si="17"/>
        <v>1.1789849228486524</v>
      </c>
      <c r="AX47" s="4">
        <v>0.8</v>
      </c>
      <c r="AY47" s="5">
        <f t="shared" si="18"/>
        <v>0.23882086955510959</v>
      </c>
      <c r="AZ47" s="5">
        <f t="shared" si="19"/>
        <v>-0.10343938311436957</v>
      </c>
      <c r="BA47" s="5">
        <f t="shared" si="20"/>
        <v>9.8172269551104075E-3</v>
      </c>
      <c r="BB47" s="5">
        <f t="shared" si="21"/>
        <v>-3.0795729039645885E-5</v>
      </c>
      <c r="BC47" s="5">
        <f t="shared" si="22"/>
        <v>7.8751875806917487E-3</v>
      </c>
      <c r="BD47" s="5">
        <f t="shared" si="23"/>
        <v>0.95971153027126455</v>
      </c>
      <c r="BE47" s="6">
        <f t="shared" si="24"/>
        <v>0.91396654789401943</v>
      </c>
      <c r="BF47" s="7">
        <f t="shared" si="25"/>
        <v>0.11396654789401939</v>
      </c>
      <c r="BG47" s="5">
        <v>0.85</v>
      </c>
      <c r="BH47" s="5">
        <f t="shared" si="26"/>
        <v>0.22477258311069137</v>
      </c>
      <c r="BI47" s="5">
        <f t="shared" si="27"/>
        <v>-9.7354713519406652E-2</v>
      </c>
      <c r="BJ47" s="5">
        <f t="shared" si="28"/>
        <v>8.6962287214818832E-3</v>
      </c>
      <c r="BK47" s="5">
        <f t="shared" si="29"/>
        <v>-2.2742897611150782E-5</v>
      </c>
      <c r="BL47" s="5">
        <f t="shared" si="30"/>
        <v>6.944481927848494E-3</v>
      </c>
      <c r="BM47" s="5">
        <f t="shared" si="31"/>
        <v>0.96422859872277134</v>
      </c>
      <c r="BN47" s="8">
        <f t="shared" si="32"/>
        <v>0.9180603261778314</v>
      </c>
      <c r="BO47" s="9">
        <f t="shared" si="33"/>
        <v>6.8060326177831421E-2</v>
      </c>
      <c r="BP47" s="10">
        <f t="shared" si="34"/>
        <v>-0.91812443432376056</v>
      </c>
      <c r="BQ47" s="10">
        <f t="shared" si="35"/>
        <v>0.92412974062493047</v>
      </c>
    </row>
    <row r="48" spans="2:69">
      <c r="B48">
        <f t="shared" si="36"/>
        <v>6400</v>
      </c>
      <c r="C48">
        <f t="shared" si="46"/>
        <v>165.60000000000036</v>
      </c>
      <c r="D48">
        <f t="shared" si="0"/>
        <v>625.60000000000036</v>
      </c>
      <c r="E48">
        <f t="shared" si="37"/>
        <v>625.20000000000039</v>
      </c>
      <c r="F48">
        <f t="shared" si="47"/>
        <v>799.97870920200126</v>
      </c>
      <c r="G48">
        <f t="shared" si="38"/>
        <v>795.53879621672354</v>
      </c>
      <c r="H48">
        <f t="shared" si="1"/>
        <v>0.92372720058665447</v>
      </c>
      <c r="I48">
        <f t="shared" si="39"/>
        <v>0.92392847060579242</v>
      </c>
      <c r="K48">
        <f t="shared" si="40"/>
        <v>-7.5448949740297006E-3</v>
      </c>
      <c r="L48">
        <f t="shared" si="41"/>
        <v>4.3864394842846755E-3</v>
      </c>
      <c r="M48">
        <f t="shared" si="48"/>
        <v>461909777.37849855</v>
      </c>
      <c r="N48">
        <f t="shared" si="49"/>
        <v>654205.44934935588</v>
      </c>
      <c r="O48">
        <f t="shared" si="50"/>
        <v>808.82967882574383</v>
      </c>
      <c r="Q48" s="2">
        <f t="shared" si="42"/>
        <v>2.4294059246804514</v>
      </c>
      <c r="R48" s="2">
        <f t="shared" si="2"/>
        <v>3.8932787254494415E-2</v>
      </c>
      <c r="W48" s="2">
        <f t="shared" si="3"/>
        <v>151492.98426972391</v>
      </c>
      <c r="X48" s="2">
        <f t="shared" si="43"/>
        <v>1197.4754300000004</v>
      </c>
      <c r="Y48" s="2">
        <f t="shared" si="4"/>
        <v>126.51030699621441</v>
      </c>
      <c r="Z48" s="2">
        <f t="shared" si="44"/>
        <v>5.2147260877109964</v>
      </c>
      <c r="AA48" s="2">
        <f t="shared" si="5"/>
        <v>1.2872449180930745</v>
      </c>
      <c r="AB48" s="2">
        <f t="shared" si="6"/>
        <v>1.0831937931683846</v>
      </c>
      <c r="AC48" s="2">
        <f t="shared" si="7"/>
        <v>1.3703517931012632E-2</v>
      </c>
      <c r="AD48" s="2">
        <f t="shared" si="8"/>
        <v>3285967.1926229317</v>
      </c>
      <c r="AI48">
        <f t="shared" si="9"/>
        <v>1.5353774716091459E-6</v>
      </c>
      <c r="AK48">
        <f t="shared" si="10"/>
        <v>8.2145250938546767E-6</v>
      </c>
      <c r="AL48">
        <f t="shared" si="11"/>
        <v>-3.990360149510654</v>
      </c>
      <c r="AM48">
        <f t="shared" si="12"/>
        <v>15.098716431593674</v>
      </c>
      <c r="AN48">
        <f t="shared" si="13"/>
        <v>227.97123788167681</v>
      </c>
      <c r="AO48">
        <f t="shared" si="14"/>
        <v>4.3865182699890709E-3</v>
      </c>
      <c r="AQ48" s="3">
        <f t="shared" si="45"/>
        <v>165.60000000000036</v>
      </c>
      <c r="AR48" s="3">
        <f t="shared" si="15"/>
        <v>625.60000000000036</v>
      </c>
      <c r="AS48">
        <f t="shared" si="51"/>
        <v>799.97870920200126</v>
      </c>
      <c r="AV48" s="3">
        <f t="shared" si="16"/>
        <v>1.6682666666666677</v>
      </c>
      <c r="AW48" s="3">
        <f t="shared" si="17"/>
        <v>1.1922186426259334</v>
      </c>
      <c r="AX48" s="4">
        <v>0.8</v>
      </c>
      <c r="AY48" s="5">
        <f t="shared" si="18"/>
        <v>0.24119273011084494</v>
      </c>
      <c r="AZ48" s="5">
        <f t="shared" si="19"/>
        <v>-0.10415826672320376</v>
      </c>
      <c r="BA48" s="5">
        <f t="shared" si="20"/>
        <v>1.0036185138520228E-2</v>
      </c>
      <c r="BB48" s="5">
        <f t="shared" si="21"/>
        <v>-3.2321590789041702E-5</v>
      </c>
      <c r="BC48" s="5">
        <f t="shared" si="22"/>
        <v>8.0079234315207793E-3</v>
      </c>
      <c r="BD48" s="5">
        <f t="shared" si="23"/>
        <v>0.95892404863851421</v>
      </c>
      <c r="BE48" s="6">
        <f t="shared" si="24"/>
        <v>0.91358923036424666</v>
      </c>
      <c r="BF48" s="7">
        <f t="shared" si="25"/>
        <v>0.11358923036424662</v>
      </c>
      <c r="BG48" s="5">
        <v>0.85</v>
      </c>
      <c r="BH48" s="5">
        <f t="shared" si="26"/>
        <v>0.22700492245726586</v>
      </c>
      <c r="BI48" s="5">
        <f t="shared" si="27"/>
        <v>-9.8031309857132959E-2</v>
      </c>
      <c r="BJ48" s="5">
        <f t="shared" si="28"/>
        <v>8.8901847593812443E-3</v>
      </c>
      <c r="BK48" s="5">
        <f t="shared" si="29"/>
        <v>-2.3869758985031753E-5</v>
      </c>
      <c r="BL48" s="5">
        <f t="shared" si="30"/>
        <v>7.0609178574834843E-3</v>
      </c>
      <c r="BM48" s="5">
        <f t="shared" si="31"/>
        <v>0.96352772108637075</v>
      </c>
      <c r="BN48" s="8">
        <f t="shared" si="32"/>
        <v>0.91768613475323246</v>
      </c>
      <c r="BO48" s="9">
        <f t="shared" si="33"/>
        <v>6.7686134753232485E-2</v>
      </c>
      <c r="BP48" s="10">
        <f t="shared" si="34"/>
        <v>-0.91806191222028388</v>
      </c>
      <c r="BQ48" s="10">
        <f t="shared" si="35"/>
        <v>0.92372720058665447</v>
      </c>
    </row>
    <row r="49" spans="2:69">
      <c r="B49">
        <f t="shared" si="36"/>
        <v>6600</v>
      </c>
      <c r="C49">
        <f t="shared" si="46"/>
        <v>166.40000000000038</v>
      </c>
      <c r="D49">
        <f t="shared" si="0"/>
        <v>626.40000000000032</v>
      </c>
      <c r="E49">
        <f t="shared" si="37"/>
        <v>626.00000000000034</v>
      </c>
      <c r="F49">
        <f t="shared" si="47"/>
        <v>808.82967882574383</v>
      </c>
      <c r="G49">
        <f t="shared" si="38"/>
        <v>804.40419401387248</v>
      </c>
      <c r="H49">
        <f t="shared" si="1"/>
        <v>0.92333601792049447</v>
      </c>
      <c r="I49">
        <f t="shared" si="39"/>
        <v>0.92353160925357447</v>
      </c>
      <c r="K49">
        <f t="shared" si="40"/>
        <v>-7.5384909956232237E-3</v>
      </c>
      <c r="L49">
        <f t="shared" si="41"/>
        <v>4.3865182699890709E-3</v>
      </c>
      <c r="M49">
        <f t="shared" si="48"/>
        <v>462703209.69890547</v>
      </c>
      <c r="N49">
        <f t="shared" si="49"/>
        <v>668556.70215609146</v>
      </c>
      <c r="O49">
        <f t="shared" si="50"/>
        <v>817.65316739806701</v>
      </c>
      <c r="Q49" s="2">
        <f t="shared" si="42"/>
        <v>2.4541871761235723</v>
      </c>
      <c r="R49" s="2">
        <f t="shared" si="2"/>
        <v>3.9329922694288019E-2</v>
      </c>
      <c r="W49" s="2">
        <f t="shared" si="3"/>
        <v>151783.6647145068</v>
      </c>
      <c r="X49" s="2">
        <f t="shared" si="43"/>
        <v>1198.2754300000004</v>
      </c>
      <c r="Y49" s="2">
        <f t="shared" si="4"/>
        <v>126.66842773744159</v>
      </c>
      <c r="Z49" s="2">
        <f t="shared" si="44"/>
        <v>5.2127123886781597</v>
      </c>
      <c r="AA49" s="2">
        <f t="shared" si="5"/>
        <v>1.2876927647579774</v>
      </c>
      <c r="AB49" s="2">
        <f t="shared" si="6"/>
        <v>1.0841716945743054</v>
      </c>
      <c r="AC49" s="2">
        <f t="shared" si="7"/>
        <v>1.3733032394916501E-2</v>
      </c>
      <c r="AD49" s="2">
        <f t="shared" si="8"/>
        <v>3278905.1281562475</v>
      </c>
      <c r="AI49">
        <f t="shared" si="9"/>
        <v>1.538684348222345E-6</v>
      </c>
      <c r="AK49">
        <f t="shared" si="10"/>
        <v>8.2304128425349866E-6</v>
      </c>
      <c r="AL49">
        <f t="shared" si="11"/>
        <v>-3.9902926698201755</v>
      </c>
      <c r="AM49">
        <f t="shared" si="12"/>
        <v>15.098581066773953</v>
      </c>
      <c r="AN49">
        <f t="shared" si="13"/>
        <v>227.96715022994488</v>
      </c>
      <c r="AO49">
        <f t="shared" si="14"/>
        <v>4.3865969241240442E-3</v>
      </c>
      <c r="AQ49" s="3">
        <f t="shared" si="45"/>
        <v>166.40000000000038</v>
      </c>
      <c r="AR49" s="3">
        <f t="shared" si="15"/>
        <v>626.40000000000032</v>
      </c>
      <c r="AS49">
        <f t="shared" si="51"/>
        <v>808.82967882574383</v>
      </c>
      <c r="AV49" s="3">
        <f t="shared" si="16"/>
        <v>1.6704000000000008</v>
      </c>
      <c r="AW49" s="3">
        <f t="shared" si="17"/>
        <v>1.2054093574154154</v>
      </c>
      <c r="AX49" s="4">
        <v>0.8</v>
      </c>
      <c r="AY49" s="5">
        <f t="shared" si="18"/>
        <v>0.24354984322779127</v>
      </c>
      <c r="AZ49" s="5">
        <f t="shared" si="19"/>
        <v>-0.10486582651755291</v>
      </c>
      <c r="BA49" s="5">
        <f t="shared" si="20"/>
        <v>1.0256699514594831E-2</v>
      </c>
      <c r="BB49" s="5">
        <f t="shared" si="21"/>
        <v>-3.3896426567823912E-5</v>
      </c>
      <c r="BC49" s="5">
        <f t="shared" si="22"/>
        <v>8.1403936128212045E-3</v>
      </c>
      <c r="BD49" s="5">
        <f t="shared" si="23"/>
        <v>0.95813440309619624</v>
      </c>
      <c r="BE49" s="6">
        <f t="shared" si="24"/>
        <v>0.9132243605987983</v>
      </c>
      <c r="BF49" s="7">
        <f t="shared" si="25"/>
        <v>0.11322436059879826</v>
      </c>
      <c r="BG49" s="5">
        <v>0.85</v>
      </c>
      <c r="BH49" s="5">
        <f t="shared" si="26"/>
        <v>0.22922338186145061</v>
      </c>
      <c r="BI49" s="5">
        <f t="shared" si="27"/>
        <v>-9.8697248487108619E-2</v>
      </c>
      <c r="BJ49" s="5">
        <f t="shared" si="28"/>
        <v>9.0855192932051097E-3</v>
      </c>
      <c r="BK49" s="5">
        <f t="shared" si="29"/>
        <v>-2.5032788079914051E-5</v>
      </c>
      <c r="BL49" s="5">
        <f t="shared" si="30"/>
        <v>7.1770979964563015E-3</v>
      </c>
      <c r="BM49" s="5">
        <f t="shared" si="31"/>
        <v>0.96282485152142083</v>
      </c>
      <c r="BN49" s="8">
        <f t="shared" si="32"/>
        <v>0.9173235919069691</v>
      </c>
      <c r="BO49" s="9">
        <f t="shared" si="33"/>
        <v>6.7323591906969127E-2</v>
      </c>
      <c r="BP49" s="10">
        <f t="shared" si="34"/>
        <v>-0.91801537383658383</v>
      </c>
      <c r="BQ49" s="10">
        <f t="shared" si="35"/>
        <v>0.92333601792049447</v>
      </c>
    </row>
    <row r="50" spans="2:69">
      <c r="B50">
        <f t="shared" si="36"/>
        <v>6800</v>
      </c>
      <c r="C50">
        <f t="shared" si="46"/>
        <v>167.20000000000039</v>
      </c>
      <c r="D50">
        <f t="shared" si="0"/>
        <v>627.20000000000039</v>
      </c>
      <c r="E50">
        <f t="shared" si="37"/>
        <v>626.80000000000041</v>
      </c>
      <c r="F50">
        <f t="shared" si="47"/>
        <v>817.65316739806701</v>
      </c>
      <c r="G50">
        <f t="shared" si="38"/>
        <v>813.24142311190542</v>
      </c>
      <c r="H50">
        <f t="shared" si="1"/>
        <v>0.92295595883606762</v>
      </c>
      <c r="I50">
        <f t="shared" si="39"/>
        <v>0.9231459883782811</v>
      </c>
      <c r="K50">
        <f t="shared" si="40"/>
        <v>-7.5320144319170248E-3</v>
      </c>
      <c r="L50">
        <f t="shared" si="41"/>
        <v>4.3865969241240442E-3</v>
      </c>
      <c r="M50">
        <f t="shared" si="48"/>
        <v>463507593.26468194</v>
      </c>
      <c r="N50">
        <f t="shared" si="49"/>
        <v>683020.40962593805</v>
      </c>
      <c r="O50">
        <f t="shared" si="50"/>
        <v>826.45048830885082</v>
      </c>
      <c r="Q50" s="2">
        <f t="shared" si="42"/>
        <v>2.4788156281699467</v>
      </c>
      <c r="R50" s="2">
        <f t="shared" si="2"/>
        <v>3.9724609425800431E-2</v>
      </c>
      <c r="W50" s="2">
        <f t="shared" si="3"/>
        <v>152074.53083830237</v>
      </c>
      <c r="X50" s="2">
        <f t="shared" si="43"/>
        <v>1199.0754300000003</v>
      </c>
      <c r="Y50" s="2">
        <f t="shared" si="4"/>
        <v>126.82649234027114</v>
      </c>
      <c r="Z50" s="2">
        <f t="shared" si="44"/>
        <v>5.2107038266326517</v>
      </c>
      <c r="AA50" s="2">
        <f t="shared" si="5"/>
        <v>1.2881394689568983</v>
      </c>
      <c r="AB50" s="2">
        <f t="shared" si="6"/>
        <v>1.0851440544587585</v>
      </c>
      <c r="AC50" s="2">
        <f t="shared" si="7"/>
        <v>1.3762501411090452E-2</v>
      </c>
      <c r="AD50" s="2">
        <f t="shared" si="8"/>
        <v>3271884.1582490895</v>
      </c>
      <c r="AI50">
        <f t="shared" si="9"/>
        <v>1.5419861327547367E-6</v>
      </c>
      <c r="AK50">
        <f t="shared" si="10"/>
        <v>8.2462726555290582E-6</v>
      </c>
      <c r="AL50">
        <f t="shared" si="11"/>
        <v>-3.9902253192359121</v>
      </c>
      <c r="AM50">
        <f t="shared" si="12"/>
        <v>15.098445925119615</v>
      </c>
      <c r="AN50">
        <f t="shared" si="13"/>
        <v>227.96306935376109</v>
      </c>
      <c r="AO50">
        <f t="shared" si="14"/>
        <v>4.3866754506983975E-3</v>
      </c>
      <c r="AQ50" s="3">
        <f t="shared" si="45"/>
        <v>167.20000000000039</v>
      </c>
      <c r="AR50" s="3">
        <f t="shared" si="15"/>
        <v>627.20000000000039</v>
      </c>
      <c r="AS50">
        <f t="shared" si="51"/>
        <v>817.65316739806701</v>
      </c>
      <c r="AV50" s="3">
        <f t="shared" si="16"/>
        <v>1.6725333333333343</v>
      </c>
      <c r="AW50" s="3">
        <f t="shared" si="17"/>
        <v>1.2185591168376557</v>
      </c>
      <c r="AX50" s="4">
        <v>0.8</v>
      </c>
      <c r="AY50" s="5">
        <f t="shared" si="18"/>
        <v>0.24589267892979225</v>
      </c>
      <c r="AZ50" s="5">
        <f t="shared" si="19"/>
        <v>-0.10556234655212077</v>
      </c>
      <c r="BA50" s="5">
        <f t="shared" si="20"/>
        <v>1.0478776225154262E-2</v>
      </c>
      <c r="BB50" s="5">
        <f t="shared" si="21"/>
        <v>-3.5521071477513491E-5</v>
      </c>
      <c r="BC50" s="5">
        <f t="shared" si="22"/>
        <v>8.2726030450943604E-3</v>
      </c>
      <c r="BD50" s="5">
        <f t="shared" si="23"/>
        <v>0.95734258446881659</v>
      </c>
      <c r="BE50" s="6">
        <f t="shared" si="24"/>
        <v>0.91287166592398628</v>
      </c>
      <c r="BF50" s="7">
        <f t="shared" si="25"/>
        <v>0.11287166592398623</v>
      </c>
      <c r="BG50" s="5">
        <v>0.85</v>
      </c>
      <c r="BH50" s="5">
        <f t="shared" si="26"/>
        <v>0.23142840369862802</v>
      </c>
      <c r="BI50" s="5">
        <f t="shared" si="27"/>
        <v>-9.9352796754937203E-2</v>
      </c>
      <c r="BJ50" s="5">
        <f t="shared" si="28"/>
        <v>9.2822377634584497E-3</v>
      </c>
      <c r="BK50" s="5">
        <f t="shared" si="29"/>
        <v>-2.6232601625096901E-5</v>
      </c>
      <c r="BL50" s="5">
        <f t="shared" si="30"/>
        <v>7.2930266790390379E-3</v>
      </c>
      <c r="BM50" s="5">
        <f t="shared" si="31"/>
        <v>0.96211998125534126</v>
      </c>
      <c r="BN50" s="8">
        <f t="shared" si="32"/>
        <v>0.91697244030187808</v>
      </c>
      <c r="BO50" s="9">
        <f t="shared" si="33"/>
        <v>6.69724403018781E-2</v>
      </c>
      <c r="BP50" s="10">
        <f t="shared" si="34"/>
        <v>-0.91798451244216384</v>
      </c>
      <c r="BQ50" s="10">
        <f t="shared" si="35"/>
        <v>0.92295595883606762</v>
      </c>
    </row>
    <row r="51" spans="2:69">
      <c r="B51">
        <f t="shared" si="36"/>
        <v>7000</v>
      </c>
      <c r="C51">
        <f t="shared" si="46"/>
        <v>168.0000000000004</v>
      </c>
      <c r="D51">
        <f t="shared" si="0"/>
        <v>628.00000000000045</v>
      </c>
      <c r="E51">
        <f t="shared" si="37"/>
        <v>627.60000000000036</v>
      </c>
      <c r="F51">
        <f t="shared" si="47"/>
        <v>826.45048830885082</v>
      </c>
      <c r="G51">
        <f t="shared" si="38"/>
        <v>822.05182785345892</v>
      </c>
      <c r="H51">
        <f t="shared" si="1"/>
        <v>0.92258679887541761</v>
      </c>
      <c r="I51">
        <f t="shared" si="39"/>
        <v>0.92277137885574256</v>
      </c>
      <c r="K51">
        <f t="shared" si="40"/>
        <v>-7.5254672029233692E-3</v>
      </c>
      <c r="L51">
        <f t="shared" si="41"/>
        <v>4.3866754506983975E-3</v>
      </c>
      <c r="M51">
        <f t="shared" si="48"/>
        <v>464322768.16345435</v>
      </c>
      <c r="N51">
        <f t="shared" si="49"/>
        <v>697597.28730576602</v>
      </c>
      <c r="O51">
        <f t="shared" si="50"/>
        <v>835.22289678011464</v>
      </c>
      <c r="Q51" s="2">
        <f t="shared" si="42"/>
        <v>2.5032953386696137</v>
      </c>
      <c r="R51" s="2">
        <f t="shared" si="2"/>
        <v>4.0116912478679712E-2</v>
      </c>
      <c r="W51" s="2">
        <f t="shared" si="3"/>
        <v>152365.58252265508</v>
      </c>
      <c r="X51" s="2">
        <f t="shared" si="43"/>
        <v>1199.8754300000005</v>
      </c>
      <c r="Y51" s="2">
        <f t="shared" si="4"/>
        <v>126.98450081826829</v>
      </c>
      <c r="Z51" s="2">
        <f t="shared" si="44"/>
        <v>5.2087003819426734</v>
      </c>
      <c r="AA51" s="2">
        <f t="shared" si="5"/>
        <v>1.2885850350559496</v>
      </c>
      <c r="AB51" s="2">
        <f t="shared" si="6"/>
        <v>1.0861110070022681</v>
      </c>
      <c r="AC51" s="2">
        <f t="shared" si="7"/>
        <v>1.3791926405740973E-2</v>
      </c>
      <c r="AD51" s="2">
        <f t="shared" si="8"/>
        <v>3264903.6124557527</v>
      </c>
      <c r="AI51">
        <f t="shared" si="9"/>
        <v>1.5452829850021721E-6</v>
      </c>
      <c r="AK51">
        <f t="shared" si="10"/>
        <v>8.2621053243608558E-6</v>
      </c>
      <c r="AL51">
        <f t="shared" si="11"/>
        <v>-3.9901580943389123</v>
      </c>
      <c r="AM51">
        <f t="shared" si="12"/>
        <v>15.098311000018763</v>
      </c>
      <c r="AN51">
        <f t="shared" si="13"/>
        <v>227.95899505328757</v>
      </c>
      <c r="AO51">
        <f t="shared" si="14"/>
        <v>4.3867538535438825E-3</v>
      </c>
      <c r="AQ51" s="3">
        <f t="shared" si="45"/>
        <v>168.0000000000004</v>
      </c>
      <c r="AR51" s="3">
        <f t="shared" si="15"/>
        <v>628.00000000000045</v>
      </c>
      <c r="AS51">
        <f t="shared" si="51"/>
        <v>826.45048830885082</v>
      </c>
      <c r="AV51" s="3">
        <f t="shared" si="16"/>
        <v>1.6746666666666679</v>
      </c>
      <c r="AW51" s="3">
        <f t="shared" si="17"/>
        <v>1.2316698782546212</v>
      </c>
      <c r="AX51" s="4">
        <v>0.8</v>
      </c>
      <c r="AY51" s="5">
        <f t="shared" si="18"/>
        <v>0.24822168625254834</v>
      </c>
      <c r="AZ51" s="5">
        <f t="shared" si="19"/>
        <v>-0.10624809894267359</v>
      </c>
      <c r="BA51" s="5">
        <f t="shared" si="20"/>
        <v>1.0702421375416634E-2</v>
      </c>
      <c r="BB51" s="5">
        <f t="shared" si="21"/>
        <v>-3.7196367454450982E-5</v>
      </c>
      <c r="BC51" s="5">
        <f t="shared" si="22"/>
        <v>8.4045565604270924E-3</v>
      </c>
      <c r="BD51" s="5">
        <f t="shared" si="23"/>
        <v>0.95654858389425723</v>
      </c>
      <c r="BE51" s="6">
        <f t="shared" si="24"/>
        <v>0.91253088547633321</v>
      </c>
      <c r="BF51" s="7">
        <f t="shared" si="25"/>
        <v>0.11253088547633316</v>
      </c>
      <c r="BG51" s="5">
        <v>0.85</v>
      </c>
      <c r="BH51" s="5">
        <f t="shared" si="26"/>
        <v>0.23362041059063379</v>
      </c>
      <c r="BI51" s="5">
        <f t="shared" si="27"/>
        <v>-9.9998210769575158E-2</v>
      </c>
      <c r="BJ51" s="5">
        <f t="shared" si="28"/>
        <v>9.4803455782237374E-3</v>
      </c>
      <c r="BK51" s="5">
        <f t="shared" si="29"/>
        <v>-2.7469821397449495E-5</v>
      </c>
      <c r="BL51" s="5">
        <f t="shared" si="30"/>
        <v>7.4087081603037277E-3</v>
      </c>
      <c r="BM51" s="5">
        <f t="shared" si="31"/>
        <v>0.96141310178886297</v>
      </c>
      <c r="BN51" s="8">
        <f t="shared" si="32"/>
        <v>0.9166324337226921</v>
      </c>
      <c r="BO51" s="9">
        <f t="shared" si="33"/>
        <v>6.6632433722692119E-2</v>
      </c>
      <c r="BP51" s="10">
        <f t="shared" si="34"/>
        <v>-0.91796903507282213</v>
      </c>
      <c r="BQ51" s="10">
        <f t="shared" si="35"/>
        <v>0.92258679887541761</v>
      </c>
    </row>
    <row r="52" spans="2:69">
      <c r="B52">
        <f t="shared" si="36"/>
        <v>7200</v>
      </c>
      <c r="C52">
        <f t="shared" si="46"/>
        <v>168.80000000000041</v>
      </c>
      <c r="D52">
        <f t="shared" si="0"/>
        <v>628.80000000000041</v>
      </c>
      <c r="E52">
        <f t="shared" si="37"/>
        <v>628.40000000000043</v>
      </c>
      <c r="F52">
        <f t="shared" si="47"/>
        <v>835.22289678011464</v>
      </c>
      <c r="G52">
        <f t="shared" si="38"/>
        <v>830.83669254448273</v>
      </c>
      <c r="H52">
        <f t="shared" si="1"/>
        <v>0.92222832237239238</v>
      </c>
      <c r="I52">
        <f t="shared" si="39"/>
        <v>0.92240756062390505</v>
      </c>
      <c r="K52">
        <f t="shared" si="40"/>
        <v>-7.5188511570233882E-3</v>
      </c>
      <c r="L52">
        <f t="shared" si="41"/>
        <v>4.3867538535438825E-3</v>
      </c>
      <c r="M52">
        <f t="shared" si="48"/>
        <v>465148582.09827936</v>
      </c>
      <c r="N52">
        <f t="shared" si="49"/>
        <v>712288.05033071409</v>
      </c>
      <c r="O52">
        <f t="shared" si="50"/>
        <v>843.97159331977173</v>
      </c>
      <c r="Q52" s="2">
        <f t="shared" si="42"/>
        <v>2.5276301833352983</v>
      </c>
      <c r="R52" s="2">
        <f t="shared" si="2"/>
        <v>4.0506893963706707E-2</v>
      </c>
      <c r="W52" s="2">
        <f t="shared" si="3"/>
        <v>152656.81964933543</v>
      </c>
      <c r="X52" s="2">
        <f t="shared" si="43"/>
        <v>1200.6754300000005</v>
      </c>
      <c r="Y52" s="2">
        <f t="shared" si="4"/>
        <v>127.14245318515044</v>
      </c>
      <c r="Z52" s="2">
        <f t="shared" si="44"/>
        <v>5.2067020350763347</v>
      </c>
      <c r="AA52" s="2">
        <f t="shared" si="5"/>
        <v>1.2890294673990232</v>
      </c>
      <c r="AB52" s="2">
        <f t="shared" si="6"/>
        <v>1.0870726808131255</v>
      </c>
      <c r="AC52" s="2">
        <f t="shared" si="7"/>
        <v>1.3821308742913881E-2</v>
      </c>
      <c r="AD52" s="2">
        <f t="shared" si="8"/>
        <v>3257962.8443589979</v>
      </c>
      <c r="AI52">
        <f t="shared" si="9"/>
        <v>1.5485750577958602E-6</v>
      </c>
      <c r="AK52">
        <f t="shared" si="10"/>
        <v>8.2779116063162371E-6</v>
      </c>
      <c r="AL52">
        <f t="shared" si="11"/>
        <v>-3.9900909918577732</v>
      </c>
      <c r="AM52">
        <f t="shared" si="12"/>
        <v>15.098176285147467</v>
      </c>
      <c r="AN52">
        <f t="shared" si="13"/>
        <v>227.95492713738938</v>
      </c>
      <c r="AO52">
        <f t="shared" si="14"/>
        <v>4.3868321363253349E-3</v>
      </c>
      <c r="AQ52" s="3">
        <f t="shared" si="45"/>
        <v>168.80000000000041</v>
      </c>
      <c r="AR52" s="3">
        <f t="shared" si="15"/>
        <v>628.80000000000041</v>
      </c>
      <c r="AS52">
        <f t="shared" si="51"/>
        <v>835.22289678011464</v>
      </c>
      <c r="AV52" s="3">
        <f t="shared" si="16"/>
        <v>1.6768000000000012</v>
      </c>
      <c r="AW52" s="3">
        <f t="shared" si="17"/>
        <v>1.2447435123399622</v>
      </c>
      <c r="AX52" s="4">
        <v>0.8</v>
      </c>
      <c r="AY52" s="5">
        <f t="shared" si="18"/>
        <v>0.25053729449829254</v>
      </c>
      <c r="AZ52" s="5">
        <f t="shared" si="19"/>
        <v>-0.10692334455961008</v>
      </c>
      <c r="BA52" s="5">
        <f t="shared" si="20"/>
        <v>1.0927641035023458E-2</v>
      </c>
      <c r="BB52" s="5">
        <f t="shared" si="21"/>
        <v>-3.8923163353228161E-5</v>
      </c>
      <c r="BC52" s="5">
        <f t="shared" si="22"/>
        <v>8.5362589050304426E-3</v>
      </c>
      <c r="BD52" s="5">
        <f t="shared" si="23"/>
        <v>0.95575239281565882</v>
      </c>
      <c r="BE52" s="6">
        <f t="shared" si="24"/>
        <v>0.91220176951294341</v>
      </c>
      <c r="BF52" s="7">
        <f t="shared" si="25"/>
        <v>0.11220176951294336</v>
      </c>
      <c r="BG52" s="5">
        <v>0.85</v>
      </c>
      <c r="BH52" s="5">
        <f t="shared" si="26"/>
        <v>0.2357998065866283</v>
      </c>
      <c r="BI52" s="5">
        <f t="shared" si="27"/>
        <v>-0.10063373605610362</v>
      </c>
      <c r="BJ52" s="5">
        <f t="shared" si="28"/>
        <v>9.6798481140692259E-3</v>
      </c>
      <c r="BK52" s="5">
        <f t="shared" si="29"/>
        <v>-2.8745074283026104E-5</v>
      </c>
      <c r="BL52" s="5">
        <f t="shared" si="30"/>
        <v>7.5241466184019813E-3</v>
      </c>
      <c r="BM52" s="5">
        <f t="shared" si="31"/>
        <v>0.9607042048888933</v>
      </c>
      <c r="BN52" s="8">
        <f t="shared" si="32"/>
        <v>0.91630333642674799</v>
      </c>
      <c r="BO52" s="9">
        <f t="shared" si="33"/>
        <v>6.6303336426748016E-2</v>
      </c>
      <c r="BP52" s="10">
        <f t="shared" si="34"/>
        <v>-0.91796866172390812</v>
      </c>
      <c r="BQ52" s="10">
        <f t="shared" si="35"/>
        <v>0.92222832237239238</v>
      </c>
    </row>
    <row r="53" spans="2:69">
      <c r="B53">
        <f t="shared" si="36"/>
        <v>7400</v>
      </c>
      <c r="C53">
        <f t="shared" si="46"/>
        <v>169.60000000000042</v>
      </c>
      <c r="D53">
        <f t="shared" si="0"/>
        <v>629.60000000000036</v>
      </c>
      <c r="E53">
        <f t="shared" si="37"/>
        <v>629.20000000000039</v>
      </c>
      <c r="F53">
        <f t="shared" si="47"/>
        <v>843.97159331977173</v>
      </c>
      <c r="G53">
        <f t="shared" si="38"/>
        <v>839.59724504994324</v>
      </c>
      <c r="H53">
        <f t="shared" si="1"/>
        <v>0.92188032195184</v>
      </c>
      <c r="I53">
        <f t="shared" si="39"/>
        <v>0.92205432216211625</v>
      </c>
      <c r="K53">
        <f t="shared" si="40"/>
        <v>-7.5121680749974783E-3</v>
      </c>
      <c r="L53">
        <f t="shared" si="41"/>
        <v>4.3868321363253349E-3</v>
      </c>
      <c r="M53">
        <f t="shared" si="48"/>
        <v>465984889.93654418</v>
      </c>
      <c r="N53">
        <f t="shared" si="49"/>
        <v>727093.41348994442</v>
      </c>
      <c r="O53">
        <f t="shared" si="50"/>
        <v>852.69772691730827</v>
      </c>
      <c r="Q53" s="2">
        <f t="shared" si="42"/>
        <v>2.5518238665072484</v>
      </c>
      <c r="R53" s="2">
        <f t="shared" si="2"/>
        <v>4.0894613245308471E-2</v>
      </c>
      <c r="W53" s="2">
        <f t="shared" si="3"/>
        <v>152948.24210034031</v>
      </c>
      <c r="X53" s="2">
        <f t="shared" si="43"/>
        <v>1201.4754300000004</v>
      </c>
      <c r="Y53" s="2">
        <f t="shared" si="4"/>
        <v>127.30034945478683</v>
      </c>
      <c r="Z53" s="2">
        <f t="shared" si="44"/>
        <v>5.2047087666010157</v>
      </c>
      <c r="AA53" s="2">
        <f t="shared" si="5"/>
        <v>1.2894727703079343</v>
      </c>
      <c r="AB53" s="2">
        <f t="shared" si="6"/>
        <v>1.0880291992374738</v>
      </c>
      <c r="AC53" s="2">
        <f t="shared" si="7"/>
        <v>1.3850649727994229E-2</v>
      </c>
      <c r="AD53" s="2">
        <f t="shared" si="8"/>
        <v>3251061.2302769185</v>
      </c>
      <c r="AI53">
        <f t="shared" si="9"/>
        <v>1.5518624973945081E-6</v>
      </c>
      <c r="AK53">
        <f t="shared" si="10"/>
        <v>8.2936922263688044E-6</v>
      </c>
      <c r="AL53">
        <f t="shared" si="11"/>
        <v>-3.9900240086603453</v>
      </c>
      <c r="AM53">
        <f t="shared" si="12"/>
        <v>15.098041774453568</v>
      </c>
      <c r="AN53">
        <f t="shared" si="13"/>
        <v>227.95086542314505</v>
      </c>
      <c r="AO53">
        <f t="shared" si="14"/>
        <v>4.3869103025500717E-3</v>
      </c>
      <c r="AQ53" s="3">
        <f t="shared" si="45"/>
        <v>169.60000000000042</v>
      </c>
      <c r="AR53" s="3">
        <f t="shared" si="15"/>
        <v>629.60000000000036</v>
      </c>
      <c r="AS53">
        <f t="shared" si="51"/>
        <v>843.97159331977173</v>
      </c>
      <c r="AV53" s="3">
        <f t="shared" si="16"/>
        <v>1.6789333333333343</v>
      </c>
      <c r="AW53" s="3">
        <f t="shared" si="17"/>
        <v>1.2577818082261873</v>
      </c>
      <c r="AX53" s="4">
        <v>0.8</v>
      </c>
      <c r="AY53" s="5">
        <f t="shared" si="18"/>
        <v>0.25283991439584935</v>
      </c>
      <c r="AZ53" s="5">
        <f t="shared" si="19"/>
        <v>-0.10758833367015881</v>
      </c>
      <c r="BA53" s="5">
        <f t="shared" si="20"/>
        <v>1.1154441238987208E-2</v>
      </c>
      <c r="BB53" s="5">
        <f t="shared" si="21"/>
        <v>-4.0702315027396833E-5</v>
      </c>
      <c r="BC53" s="5">
        <f t="shared" si="22"/>
        <v>8.6677147416552216E-3</v>
      </c>
      <c r="BD53" s="5">
        <f t="shared" si="23"/>
        <v>0.95495400297375632</v>
      </c>
      <c r="BE53" s="6">
        <f t="shared" si="24"/>
        <v>0.91188407877303412</v>
      </c>
      <c r="BF53" s="7">
        <f t="shared" si="25"/>
        <v>0.11188407877303408</v>
      </c>
      <c r="BG53" s="5">
        <v>0.85</v>
      </c>
      <c r="BH53" s="5">
        <f t="shared" si="26"/>
        <v>0.23796697825491706</v>
      </c>
      <c r="BI53" s="5">
        <f t="shared" si="27"/>
        <v>-0.10125960816014948</v>
      </c>
      <c r="BJ53" s="5">
        <f t="shared" si="28"/>
        <v>9.8807507168883237E-3</v>
      </c>
      <c r="BK53" s="5">
        <f t="shared" si="29"/>
        <v>-3.0058992336670293E-5</v>
      </c>
      <c r="BL53" s="5">
        <f t="shared" si="30"/>
        <v>7.6393461567346296E-3</v>
      </c>
      <c r="BM53" s="5">
        <f t="shared" si="31"/>
        <v>0.95999328258178351</v>
      </c>
      <c r="BN53" s="8">
        <f t="shared" si="32"/>
        <v>0.91598492254285768</v>
      </c>
      <c r="BO53" s="9">
        <f t="shared" si="33"/>
        <v>6.5984922542857705E-2</v>
      </c>
      <c r="BP53" s="10">
        <f t="shared" si="34"/>
        <v>-0.91798312460352871</v>
      </c>
      <c r="BQ53" s="10">
        <f t="shared" si="35"/>
        <v>0.92188032195184</v>
      </c>
    </row>
    <row r="54" spans="2:69">
      <c r="B54">
        <f t="shared" si="36"/>
        <v>7600</v>
      </c>
      <c r="C54">
        <f t="shared" si="46"/>
        <v>170.40000000000043</v>
      </c>
      <c r="D54">
        <f t="shared" si="0"/>
        <v>630.40000000000043</v>
      </c>
      <c r="E54">
        <f t="shared" si="37"/>
        <v>630.00000000000045</v>
      </c>
      <c r="F54">
        <f t="shared" si="47"/>
        <v>852.69772691730827</v>
      </c>
      <c r="G54">
        <f t="shared" si="38"/>
        <v>848.33466011854</v>
      </c>
      <c r="H54">
        <f t="shared" si="1"/>
        <v>0.92154259806507177</v>
      </c>
      <c r="I54">
        <f t="shared" si="39"/>
        <v>0.92171146000845594</v>
      </c>
      <c r="K54">
        <f t="shared" si="40"/>
        <v>-7.5054196737632363E-3</v>
      </c>
      <c r="L54">
        <f t="shared" si="41"/>
        <v>4.3869103025500717E-3</v>
      </c>
      <c r="M54">
        <f t="shared" si="48"/>
        <v>466831553.29234332</v>
      </c>
      <c r="N54">
        <f t="shared" si="49"/>
        <v>742014.09128788253</v>
      </c>
      <c r="O54">
        <f t="shared" si="50"/>
        <v>861.40239800448808</v>
      </c>
      <c r="Q54" s="2">
        <f t="shared" si="42"/>
        <v>2.5758799311198102</v>
      </c>
      <c r="R54" s="2">
        <f t="shared" si="2"/>
        <v>4.1280127101279013E-2</v>
      </c>
      <c r="W54" s="2">
        <f t="shared" si="3"/>
        <v>153239.84975789121</v>
      </c>
      <c r="X54" s="2">
        <f t="shared" si="43"/>
        <v>1202.2754300000006</v>
      </c>
      <c r="Y54" s="2">
        <f t="shared" si="4"/>
        <v>127.45818964119655</v>
      </c>
      <c r="Z54" s="2">
        <f t="shared" si="44"/>
        <v>5.2027205571827402</v>
      </c>
      <c r="AA54" s="2">
        <f t="shared" si="5"/>
        <v>1.2899149480825587</v>
      </c>
      <c r="AB54" s="2">
        <f t="shared" si="6"/>
        <v>1.0889806806473039</v>
      </c>
      <c r="AC54" s="2">
        <f t="shared" si="7"/>
        <v>1.3879950610954338E-2</v>
      </c>
      <c r="AD54" s="2">
        <f t="shared" si="8"/>
        <v>3244198.1680604499</v>
      </c>
      <c r="AI54">
        <f t="shared" si="9"/>
        <v>1.5551454438482355E-6</v>
      </c>
      <c r="AK54">
        <f t="shared" si="10"/>
        <v>8.3094478789671099E-6</v>
      </c>
      <c r="AL54">
        <f t="shared" si="11"/>
        <v>-3.9899571417460318</v>
      </c>
      <c r="AM54">
        <f t="shared" si="12"/>
        <v>15.097907462141617</v>
      </c>
      <c r="AN54">
        <f t="shared" si="13"/>
        <v>227.94680973539153</v>
      </c>
      <c r="AO54">
        <f t="shared" si="14"/>
        <v>4.3869883555766112E-3</v>
      </c>
      <c r="AQ54" s="3">
        <f t="shared" si="45"/>
        <v>170.40000000000043</v>
      </c>
      <c r="AR54" s="3">
        <f t="shared" si="15"/>
        <v>630.40000000000043</v>
      </c>
      <c r="AS54">
        <f t="shared" si="51"/>
        <v>852.69772691730827</v>
      </c>
      <c r="AV54" s="3">
        <f t="shared" si="16"/>
        <v>1.6810666666666678</v>
      </c>
      <c r="AW54" s="3">
        <f t="shared" si="17"/>
        <v>1.2707864782672254</v>
      </c>
      <c r="AX54" s="4">
        <v>0.8</v>
      </c>
      <c r="AY54" s="5">
        <f t="shared" si="18"/>
        <v>0.25512993917464405</v>
      </c>
      <c r="AZ54" s="5">
        <f t="shared" si="19"/>
        <v>-0.10824330653380218</v>
      </c>
      <c r="BA54" s="5">
        <f t="shared" si="20"/>
        <v>1.1382827988567131E-2</v>
      </c>
      <c r="BB54" s="5">
        <f t="shared" si="21"/>
        <v>-4.2534685407599109E-5</v>
      </c>
      <c r="BC54" s="5">
        <f t="shared" si="22"/>
        <v>8.7989286518927751E-3</v>
      </c>
      <c r="BD54" s="5">
        <f t="shared" si="23"/>
        <v>0.9541534063996352</v>
      </c>
      <c r="BE54" s="6">
        <f t="shared" si="24"/>
        <v>0.91157758388604337</v>
      </c>
      <c r="BF54" s="7">
        <f t="shared" si="25"/>
        <v>0.11157758388604333</v>
      </c>
      <c r="BG54" s="5">
        <v>0.85</v>
      </c>
      <c r="BH54" s="5">
        <f t="shared" si="26"/>
        <v>0.24012229569378266</v>
      </c>
      <c r="BI54" s="5">
        <f t="shared" si="27"/>
        <v>-0.10187605320828441</v>
      </c>
      <c r="BJ54" s="5">
        <f t="shared" si="28"/>
        <v>1.0083058702675384E-2</v>
      </c>
      <c r="BK54" s="5">
        <f t="shared" si="29"/>
        <v>-3.14122128397146E-5</v>
      </c>
      <c r="BL54" s="5">
        <f t="shared" si="30"/>
        <v>7.7543108060188241E-3</v>
      </c>
      <c r="BM54" s="5">
        <f t="shared" si="31"/>
        <v>0.95928032714696743</v>
      </c>
      <c r="BN54" s="8">
        <f t="shared" si="32"/>
        <v>0.91567697551402771</v>
      </c>
      <c r="BO54" s="9">
        <f t="shared" si="33"/>
        <v>6.5676975514027736E-2</v>
      </c>
      <c r="BP54" s="10">
        <f t="shared" si="34"/>
        <v>-0.91801216744031311</v>
      </c>
      <c r="BQ54" s="10">
        <f t="shared" si="35"/>
        <v>0.92154259806507177</v>
      </c>
    </row>
    <row r="55" spans="2:69">
      <c r="B55">
        <f t="shared" si="36"/>
        <v>7800</v>
      </c>
      <c r="C55">
        <f t="shared" si="46"/>
        <v>171.20000000000044</v>
      </c>
      <c r="D55">
        <f t="shared" si="0"/>
        <v>631.2000000000005</v>
      </c>
      <c r="E55">
        <f t="shared" si="37"/>
        <v>630.80000000000041</v>
      </c>
      <c r="F55">
        <f t="shared" si="47"/>
        <v>861.40239800448808</v>
      </c>
      <c r="G55">
        <f t="shared" si="38"/>
        <v>857.05006246089818</v>
      </c>
      <c r="H55">
        <f t="shared" si="1"/>
        <v>0.92121495855840085</v>
      </c>
      <c r="I55">
        <f t="shared" si="39"/>
        <v>0.92137877831173631</v>
      </c>
      <c r="K55">
        <f t="shared" si="40"/>
        <v>-7.4986076098468085E-3</v>
      </c>
      <c r="L55">
        <f t="shared" si="41"/>
        <v>4.3869883555766112E-3</v>
      </c>
      <c r="M55">
        <f t="shared" si="48"/>
        <v>467688440.13931865</v>
      </c>
      <c r="N55">
        <f t="shared" si="49"/>
        <v>757050.79800126771</v>
      </c>
      <c r="O55">
        <f t="shared" si="50"/>
        <v>870.08666120178384</v>
      </c>
      <c r="Q55" s="2">
        <f t="shared" si="42"/>
        <v>2.5998017679409058</v>
      </c>
      <c r="R55" s="2">
        <f t="shared" si="2"/>
        <v>4.166348987084785E-2</v>
      </c>
      <c r="W55" s="2">
        <f t="shared" si="3"/>
        <v>153531.64250443343</v>
      </c>
      <c r="X55" s="2">
        <f t="shared" si="43"/>
        <v>1203.0754300000006</v>
      </c>
      <c r="Y55" s="2">
        <f t="shared" si="4"/>
        <v>127.6159737585476</v>
      </c>
      <c r="Z55" s="2">
        <f t="shared" si="44"/>
        <v>5.2007373875855496</v>
      </c>
      <c r="AA55" s="2">
        <f t="shared" si="5"/>
        <v>1.2903560050009739</v>
      </c>
      <c r="AB55" s="2">
        <f t="shared" si="6"/>
        <v>1.0899272387082766</v>
      </c>
      <c r="AC55" s="2">
        <f t="shared" si="7"/>
        <v>1.3909212589372166E-2</v>
      </c>
      <c r="AD55" s="2">
        <f t="shared" si="8"/>
        <v>3237373.0759736788</v>
      </c>
      <c r="AI55">
        <f t="shared" si="9"/>
        <v>1.558424031336764E-6</v>
      </c>
      <c r="AK55">
        <f t="shared" si="10"/>
        <v>8.3251792296957845E-6</v>
      </c>
      <c r="AL55">
        <f t="shared" si="11"/>
        <v>-3.9898903882386318</v>
      </c>
      <c r="AM55">
        <f t="shared" si="12"/>
        <v>15.097773342658899</v>
      </c>
      <c r="AN55">
        <f t="shared" si="13"/>
        <v>227.94275990630166</v>
      </c>
      <c r="AO55">
        <f t="shared" si="14"/>
        <v>4.3870662986227804E-3</v>
      </c>
      <c r="AQ55" s="3">
        <f t="shared" si="45"/>
        <v>171.20000000000044</v>
      </c>
      <c r="AR55" s="3">
        <f t="shared" si="15"/>
        <v>631.2000000000005</v>
      </c>
      <c r="AS55">
        <f t="shared" si="51"/>
        <v>861.40239800448808</v>
      </c>
      <c r="AV55" s="3">
        <f t="shared" si="16"/>
        <v>1.6832000000000014</v>
      </c>
      <c r="AW55" s="3">
        <f t="shared" si="17"/>
        <v>1.2837591624508018</v>
      </c>
      <c r="AX55" s="4">
        <v>0.8</v>
      </c>
      <c r="AY55" s="5">
        <f t="shared" si="18"/>
        <v>0.25740774556032869</v>
      </c>
      <c r="AZ55" s="5">
        <f t="shared" si="19"/>
        <v>-0.1088884939550466</v>
      </c>
      <c r="BA55" s="5">
        <f t="shared" si="20"/>
        <v>1.1612807252078711E-2</v>
      </c>
      <c r="BB55" s="5">
        <f t="shared" si="21"/>
        <v>-4.442114457725225E-5</v>
      </c>
      <c r="BC55" s="5">
        <f t="shared" si="22"/>
        <v>8.9299051383686847E-3</v>
      </c>
      <c r="BD55" s="5">
        <f t="shared" si="23"/>
        <v>0.9533505954078777</v>
      </c>
      <c r="BE55" s="6">
        <f t="shared" si="24"/>
        <v>0.91128206482220897</v>
      </c>
      <c r="BF55" s="7">
        <f t="shared" si="25"/>
        <v>0.11128206482220893</v>
      </c>
      <c r="BG55" s="5">
        <v>0.85</v>
      </c>
      <c r="BH55" s="5">
        <f t="shared" si="26"/>
        <v>0.24226611346854468</v>
      </c>
      <c r="BI55" s="5">
        <f t="shared" si="27"/>
        <v>-0.10248328842827915</v>
      </c>
      <c r="BJ55" s="5">
        <f t="shared" si="28"/>
        <v>1.0286777358242736E-2</v>
      </c>
      <c r="BK55" s="5">
        <f t="shared" si="29"/>
        <v>-3.2805378355874478E-5</v>
      </c>
      <c r="BL55" s="5">
        <f t="shared" si="30"/>
        <v>7.8690445262594964E-3</v>
      </c>
      <c r="BM55" s="5">
        <f t="shared" si="31"/>
        <v>0.95856533111094488</v>
      </c>
      <c r="BN55" s="8">
        <f t="shared" si="32"/>
        <v>0.91537928758016018</v>
      </c>
      <c r="BO55" s="9">
        <f t="shared" si="33"/>
        <v>6.5379287580160206E-2</v>
      </c>
      <c r="BP55" s="10">
        <f t="shared" si="34"/>
        <v>-0.91805554484097562</v>
      </c>
      <c r="BQ55" s="10">
        <f t="shared" si="35"/>
        <v>0.92121495855840085</v>
      </c>
    </row>
    <row r="56" spans="2:69">
      <c r="B56">
        <f t="shared" si="36"/>
        <v>8000</v>
      </c>
      <c r="C56">
        <f t="shared" si="46"/>
        <v>172.00000000000045</v>
      </c>
      <c r="D56">
        <f t="shared" si="0"/>
        <v>632.00000000000045</v>
      </c>
      <c r="E56">
        <f t="shared" si="37"/>
        <v>631.60000000000048</v>
      </c>
      <c r="F56">
        <f t="shared" si="47"/>
        <v>870.08666120178384</v>
      </c>
      <c r="G56">
        <f t="shared" si="38"/>
        <v>865.74452960313602</v>
      </c>
      <c r="H56">
        <f t="shared" si="1"/>
        <v>0.92089721827191007</v>
      </c>
      <c r="I56">
        <f t="shared" si="39"/>
        <v>0.92105608841515552</v>
      </c>
      <c r="K56">
        <f t="shared" si="40"/>
        <v>-7.4917334826106715E-3</v>
      </c>
      <c r="L56">
        <f t="shared" si="41"/>
        <v>4.3870662986227804E-3</v>
      </c>
      <c r="M56">
        <f t="shared" si="48"/>
        <v>468555424.45129305</v>
      </c>
      <c r="N56">
        <f t="shared" si="49"/>
        <v>772204.24773231009</v>
      </c>
      <c r="O56">
        <f t="shared" si="50"/>
        <v>878.75152786911849</v>
      </c>
      <c r="Q56" s="2">
        <f t="shared" si="42"/>
        <v>2.6235926241481935</v>
      </c>
      <c r="R56" s="2">
        <f t="shared" si="2"/>
        <v>4.2044753592118483E-2</v>
      </c>
      <c r="W56" s="2">
        <f t="shared" si="3"/>
        <v>153823.62022263711</v>
      </c>
      <c r="X56" s="2">
        <f t="shared" si="43"/>
        <v>1203.8754300000005</v>
      </c>
      <c r="Y56" s="2">
        <f t="shared" si="4"/>
        <v>127.77370182115691</v>
      </c>
      <c r="Z56" s="2">
        <f t="shared" si="44"/>
        <v>5.1987592386708847</v>
      </c>
      <c r="AA56" s="2">
        <f t="shared" si="5"/>
        <v>1.2907959453195954</v>
      </c>
      <c r="AB56" s="2">
        <f t="shared" si="6"/>
        <v>1.0908689826290887</v>
      </c>
      <c r="AC56" s="2">
        <f t="shared" si="7"/>
        <v>1.3938436811239798E-2</v>
      </c>
      <c r="AD56" s="2">
        <f t="shared" si="8"/>
        <v>3230585.3916499773</v>
      </c>
      <c r="AI56">
        <f t="shared" si="9"/>
        <v>1.5616983884840862E-6</v>
      </c>
      <c r="AK56">
        <f t="shared" si="10"/>
        <v>8.3408869168212489E-6</v>
      </c>
      <c r="AL56">
        <f t="shared" si="11"/>
        <v>-3.9898237453796814</v>
      </c>
      <c r="AM56">
        <f t="shared" si="12"/>
        <v>15.097639410682426</v>
      </c>
      <c r="AN56">
        <f t="shared" si="13"/>
        <v>227.93871577499118</v>
      </c>
      <c r="AO56">
        <f t="shared" si="14"/>
        <v>4.3871441347732524E-3</v>
      </c>
      <c r="AQ56" s="3">
        <f t="shared" si="45"/>
        <v>172.00000000000045</v>
      </c>
      <c r="AR56" s="3">
        <f t="shared" si="15"/>
        <v>632.00000000000045</v>
      </c>
      <c r="AS56">
        <f t="shared" si="51"/>
        <v>870.08666120178384</v>
      </c>
      <c r="AV56" s="3">
        <f t="shared" si="16"/>
        <v>1.6853333333333345</v>
      </c>
      <c r="AW56" s="3">
        <f t="shared" si="17"/>
        <v>1.2967014324914812</v>
      </c>
      <c r="AX56" s="4">
        <v>0.8</v>
      </c>
      <c r="AY56" s="5">
        <f t="shared" si="18"/>
        <v>0.25967369469889712</v>
      </c>
      <c r="AZ56" s="5">
        <f t="shared" si="19"/>
        <v>-0.10952411779723441</v>
      </c>
      <c r="BA56" s="5">
        <f t="shared" si="20"/>
        <v>1.1844384965641943E-2</v>
      </c>
      <c r="BB56" s="5">
        <f t="shared" si="21"/>
        <v>-4.6362569845910111E-5</v>
      </c>
      <c r="BC56" s="5">
        <f t="shared" si="22"/>
        <v>9.0606486268363512E-3</v>
      </c>
      <c r="BD56" s="5">
        <f t="shared" si="23"/>
        <v>0.95254556259007139</v>
      </c>
      <c r="BE56" s="6">
        <f t="shared" si="24"/>
        <v>0.91099731038193432</v>
      </c>
      <c r="BF56" s="7">
        <f t="shared" si="25"/>
        <v>0.11099731038193428</v>
      </c>
      <c r="BG56" s="5">
        <v>0.85</v>
      </c>
      <c r="BH56" s="5">
        <f t="shared" si="26"/>
        <v>0.24439877148131495</v>
      </c>
      <c r="BI56" s="5">
        <f t="shared" si="27"/>
        <v>-0.10308152263269121</v>
      </c>
      <c r="BJ56" s="5">
        <f t="shared" si="28"/>
        <v>1.049191194188352E-2</v>
      </c>
      <c r="BK56" s="5">
        <f t="shared" si="29"/>
        <v>-3.423913678542631E-5</v>
      </c>
      <c r="BL56" s="5">
        <f t="shared" si="30"/>
        <v>7.9835512086313294E-3</v>
      </c>
      <c r="BM56" s="5">
        <f t="shared" si="31"/>
        <v>0.95784828724158511</v>
      </c>
      <c r="BN56" s="8">
        <f t="shared" si="32"/>
        <v>0.91509165929727077</v>
      </c>
      <c r="BO56" s="9">
        <f t="shared" si="33"/>
        <v>6.5091659297270787E-2</v>
      </c>
      <c r="BP56" s="10">
        <f t="shared" si="34"/>
        <v>-0.91811302169327103</v>
      </c>
      <c r="BQ56" s="10">
        <f t="shared" si="35"/>
        <v>0.92089721827191007</v>
      </c>
    </row>
    <row r="57" spans="2:69">
      <c r="B57">
        <f t="shared" si="36"/>
        <v>8200</v>
      </c>
      <c r="C57">
        <f t="shared" si="46"/>
        <v>172.80000000000047</v>
      </c>
      <c r="D57">
        <f t="shared" si="0"/>
        <v>632.80000000000041</v>
      </c>
      <c r="E57">
        <f t="shared" si="37"/>
        <v>632.40000000000043</v>
      </c>
      <c r="F57">
        <f t="shared" si="47"/>
        <v>878.75152786911849</v>
      </c>
      <c r="G57">
        <f t="shared" si="38"/>
        <v>874.41909453545122</v>
      </c>
      <c r="H57">
        <f t="shared" si="1"/>
        <v>0.92058919866587352</v>
      </c>
      <c r="I57">
        <f t="shared" si="39"/>
        <v>0.92074320846889179</v>
      </c>
      <c r="K57">
        <f t="shared" si="40"/>
        <v>-7.4847988372586834E-3</v>
      </c>
      <c r="L57">
        <f t="shared" si="41"/>
        <v>4.3871441347732524E-3</v>
      </c>
      <c r="M57">
        <f t="shared" si="48"/>
        <v>469432385.86827499</v>
      </c>
      <c r="N57">
        <f t="shared" si="49"/>
        <v>787475.15445822384</v>
      </c>
      <c r="O57">
        <f t="shared" si="50"/>
        <v>887.39796847762943</v>
      </c>
      <c r="Q57" s="2">
        <f t="shared" si="42"/>
        <v>2.647255611299201</v>
      </c>
      <c r="R57" s="2">
        <f t="shared" si="2"/>
        <v>4.242396812979489E-2</v>
      </c>
      <c r="W57" s="2">
        <f t="shared" si="3"/>
        <v>154115.78279539407</v>
      </c>
      <c r="X57" s="2">
        <f t="shared" si="43"/>
        <v>1204.6754300000005</v>
      </c>
      <c r="Y57" s="2">
        <f t="shared" si="4"/>
        <v>127.93137384348746</v>
      </c>
      <c r="Z57" s="2">
        <f t="shared" si="44"/>
        <v>5.1967860913969641</v>
      </c>
      <c r="AA57" s="2">
        <f t="shared" si="5"/>
        <v>1.2912347732733154</v>
      </c>
      <c r="AB57" s="2">
        <f t="shared" si="6"/>
        <v>1.0918060173939348</v>
      </c>
      <c r="AC57" s="2">
        <f t="shared" si="7"/>
        <v>1.3967624377579266E-2</v>
      </c>
      <c r="AD57" s="2">
        <f t="shared" si="8"/>
        <v>3223834.5711177862</v>
      </c>
      <c r="AI57">
        <f t="shared" si="9"/>
        <v>1.5649686386515483E-6</v>
      </c>
      <c r="AK57">
        <f t="shared" si="10"/>
        <v>8.3565715527315492E-6</v>
      </c>
      <c r="AL57">
        <f t="shared" si="11"/>
        <v>-3.9897572105222485</v>
      </c>
      <c r="AM57">
        <f t="shared" si="12"/>
        <v>15.097505661106814</v>
      </c>
      <c r="AN57">
        <f t="shared" si="13"/>
        <v>227.93467718715229</v>
      </c>
      <c r="AO57">
        <f t="shared" si="14"/>
        <v>4.387221866986573E-3</v>
      </c>
      <c r="AQ57" s="3">
        <f t="shared" si="45"/>
        <v>172.80000000000047</v>
      </c>
      <c r="AR57" s="3">
        <f t="shared" si="15"/>
        <v>632.80000000000041</v>
      </c>
      <c r="AS57">
        <f t="shared" si="51"/>
        <v>878.75152786911849</v>
      </c>
      <c r="AV57" s="3">
        <f t="shared" si="16"/>
        <v>1.6874666666666678</v>
      </c>
      <c r="AW57" s="3">
        <f t="shared" si="17"/>
        <v>1.3096147956320694</v>
      </c>
      <c r="AX57" s="4">
        <v>0.8</v>
      </c>
      <c r="AY57" s="5">
        <f t="shared" si="18"/>
        <v>0.26192813301546092</v>
      </c>
      <c r="AZ57" s="5">
        <f t="shared" si="19"/>
        <v>-0.1101503914607201</v>
      </c>
      <c r="BA57" s="5">
        <f t="shared" si="20"/>
        <v>1.2077567033872765E-2</v>
      </c>
      <c r="BB57" s="5">
        <f t="shared" si="21"/>
        <v>-4.8359845820414145E-5</v>
      </c>
      <c r="BC57" s="5">
        <f t="shared" si="22"/>
        <v>9.1911634681768762E-3</v>
      </c>
      <c r="BD57" s="5">
        <f t="shared" si="23"/>
        <v>0.95173830080865385</v>
      </c>
      <c r="BE57" s="6">
        <f t="shared" si="24"/>
        <v>0.9107231177206303</v>
      </c>
      <c r="BF57" s="7">
        <f t="shared" si="25"/>
        <v>0.11072311772063026</v>
      </c>
      <c r="BG57" s="5">
        <v>0.85</v>
      </c>
      <c r="BH57" s="5">
        <f t="shared" si="26"/>
        <v>0.24652059577925736</v>
      </c>
      <c r="BI57" s="5">
        <f t="shared" si="27"/>
        <v>-0.10367095666891304</v>
      </c>
      <c r="BJ57" s="5">
        <f t="shared" si="28"/>
        <v>1.0698467683984181E-2</v>
      </c>
      <c r="BK57" s="5">
        <f t="shared" si="29"/>
        <v>-3.5714141417753061E-5</v>
      </c>
      <c r="BL57" s="5">
        <f t="shared" si="30"/>
        <v>8.0978346772770434E-3</v>
      </c>
      <c r="BM57" s="5">
        <f t="shared" si="31"/>
        <v>0.9571291885427281</v>
      </c>
      <c r="BN57" s="8">
        <f t="shared" si="32"/>
        <v>0.91481389909010435</v>
      </c>
      <c r="BO57" s="9">
        <f t="shared" si="33"/>
        <v>6.4813899090104377E-2</v>
      </c>
      <c r="BP57" s="10">
        <f t="shared" si="34"/>
        <v>-0.91818437261051888</v>
      </c>
      <c r="BQ57" s="10">
        <f t="shared" si="35"/>
        <v>0.92058919866587352</v>
      </c>
    </row>
    <row r="58" spans="2:69">
      <c r="B58">
        <f t="shared" si="36"/>
        <v>8400</v>
      </c>
      <c r="C58">
        <f t="shared" si="46"/>
        <v>173.60000000000048</v>
      </c>
      <c r="D58">
        <f t="shared" si="0"/>
        <v>633.60000000000048</v>
      </c>
      <c r="E58">
        <f t="shared" si="37"/>
        <v>633.2000000000005</v>
      </c>
      <c r="F58">
        <f t="shared" si="47"/>
        <v>887.39796847762943</v>
      </c>
      <c r="G58">
        <f t="shared" si="38"/>
        <v>883.07474817337402</v>
      </c>
      <c r="H58">
        <f t="shared" si="1"/>
        <v>0.92029072747251384</v>
      </c>
      <c r="I58">
        <f t="shared" si="39"/>
        <v>0.92043996306919373</v>
      </c>
      <c r="K58">
        <f t="shared" si="40"/>
        <v>-7.477805167637042E-3</v>
      </c>
      <c r="L58">
        <f t="shared" si="41"/>
        <v>4.387221866986573E-3</v>
      </c>
      <c r="M58">
        <f t="shared" si="48"/>
        <v>470319209.38567656</v>
      </c>
      <c r="N58">
        <f t="shared" si="49"/>
        <v>802864.23207739019</v>
      </c>
      <c r="O58">
        <f t="shared" si="50"/>
        <v>896.02691481751276</v>
      </c>
      <c r="Q58" s="2">
        <f t="shared" si="42"/>
        <v>2.6707937127469794</v>
      </c>
      <c r="R58" s="2">
        <f t="shared" si="2"/>
        <v>4.2801181294022106E-2</v>
      </c>
      <c r="W58" s="2">
        <f t="shared" si="3"/>
        <v>154408.1301058188</v>
      </c>
      <c r="X58" s="2">
        <f t="shared" si="43"/>
        <v>1205.4754300000004</v>
      </c>
      <c r="Y58" s="2">
        <f t="shared" si="4"/>
        <v>128.08898984014857</v>
      </c>
      <c r="Z58" s="2">
        <f t="shared" si="44"/>
        <v>5.19481792681818</v>
      </c>
      <c r="AA58" s="2">
        <f t="shared" si="5"/>
        <v>1.2916724930756369</v>
      </c>
      <c r="AB58" s="2">
        <f t="shared" si="6"/>
        <v>1.0927384439794579</v>
      </c>
      <c r="AC58" s="2">
        <f t="shared" si="7"/>
        <v>1.3996776344882455E-2</v>
      </c>
      <c r="AD58" s="2">
        <f t="shared" si="8"/>
        <v>3217120.0878901905</v>
      </c>
      <c r="AI58">
        <f t="shared" si="9"/>
        <v>1.5682349002112251E-6</v>
      </c>
      <c r="AK58">
        <f t="shared" si="10"/>
        <v>8.3722337252794297E-6</v>
      </c>
      <c r="AL58">
        <f t="shared" si="11"/>
        <v>-3.9896907811251441</v>
      </c>
      <c r="AM58">
        <f t="shared" si="12"/>
        <v>15.097372089032984</v>
      </c>
      <c r="AN58">
        <f t="shared" si="13"/>
        <v>227.93064399471217</v>
      </c>
      <c r="AO58">
        <f t="shared" si="14"/>
        <v>4.3872994981017091E-3</v>
      </c>
      <c r="AQ58" s="3">
        <f t="shared" si="45"/>
        <v>173.60000000000048</v>
      </c>
      <c r="AR58" s="3">
        <f t="shared" si="15"/>
        <v>633.60000000000048</v>
      </c>
      <c r="AS58">
        <f t="shared" si="51"/>
        <v>887.39796847762943</v>
      </c>
      <c r="AV58" s="3">
        <f t="shared" si="16"/>
        <v>1.6896000000000013</v>
      </c>
      <c r="AW58" s="3">
        <f t="shared" si="17"/>
        <v>1.3225006981782852</v>
      </c>
      <c r="AX58" s="4">
        <v>0.8</v>
      </c>
      <c r="AY58" s="5">
        <f t="shared" si="18"/>
        <v>0.26417139301324033</v>
      </c>
      <c r="AZ58" s="5">
        <f t="shared" si="19"/>
        <v>-0.11076752032840377</v>
      </c>
      <c r="BA58" s="5">
        <f t="shared" si="20"/>
        <v>1.2312359330522035E-2</v>
      </c>
      <c r="BB58" s="5">
        <f t="shared" si="21"/>
        <v>-5.0413864473938993E-5</v>
      </c>
      <c r="BC58" s="5">
        <f t="shared" si="22"/>
        <v>9.3214539403113326E-3</v>
      </c>
      <c r="BD58" s="5">
        <f t="shared" si="23"/>
        <v>0.95092880319107131</v>
      </c>
      <c r="BE58" s="6">
        <f t="shared" si="24"/>
        <v>0.91045929190605313</v>
      </c>
      <c r="BF58" s="7">
        <f t="shared" si="25"/>
        <v>0.11045929190605308</v>
      </c>
      <c r="BG58" s="5">
        <v>0.85</v>
      </c>
      <c r="BH58" s="5">
        <f t="shared" si="26"/>
        <v>0.24863189930657917</v>
      </c>
      <c r="BI58" s="5">
        <f t="shared" si="27"/>
        <v>-0.10425178383849769</v>
      </c>
      <c r="BJ58" s="5">
        <f t="shared" si="28"/>
        <v>1.0906449787590457E-2</v>
      </c>
      <c r="BK58" s="5">
        <f t="shared" si="29"/>
        <v>-3.7231050982334907E-5</v>
      </c>
      <c r="BL58" s="5">
        <f t="shared" si="30"/>
        <v>8.211898691027307E-3</v>
      </c>
      <c r="BM58" s="5">
        <f t="shared" si="31"/>
        <v>0.95640802824906279</v>
      </c>
      <c r="BN58" s="8">
        <f t="shared" si="32"/>
        <v>0.91454582283534158</v>
      </c>
      <c r="BO58" s="9">
        <f t="shared" si="33"/>
        <v>6.4545822835341604E-2</v>
      </c>
      <c r="BP58" s="10">
        <f t="shared" si="34"/>
        <v>-0.91826938141423076</v>
      </c>
      <c r="BQ58" s="10">
        <f t="shared" si="35"/>
        <v>0.92029072747251384</v>
      </c>
    </row>
    <row r="59" spans="2:69">
      <c r="B59">
        <f t="shared" si="36"/>
        <v>8600</v>
      </c>
      <c r="C59">
        <f t="shared" si="46"/>
        <v>174.40000000000049</v>
      </c>
      <c r="D59">
        <f t="shared" si="0"/>
        <v>634.40000000000055</v>
      </c>
      <c r="E59">
        <f t="shared" si="37"/>
        <v>634.00000000000045</v>
      </c>
      <c r="F59">
        <f t="shared" si="47"/>
        <v>896.02691481751276</v>
      </c>
      <c r="G59">
        <f t="shared" si="38"/>
        <v>891.71244164757104</v>
      </c>
      <c r="H59">
        <f t="shared" si="1"/>
        <v>0.920001638371023</v>
      </c>
      <c r="I59">
        <f t="shared" si="39"/>
        <v>0.92014618292176842</v>
      </c>
      <c r="K59">
        <f t="shared" si="40"/>
        <v>-7.4707539188480689E-3</v>
      </c>
      <c r="L59">
        <f t="shared" si="41"/>
        <v>4.3872994981017091E-3</v>
      </c>
      <c r="M59">
        <f t="shared" si="48"/>
        <v>471215785.06478733</v>
      </c>
      <c r="N59">
        <f t="shared" si="49"/>
        <v>818372.1944523761</v>
      </c>
      <c r="O59">
        <f t="shared" si="50"/>
        <v>904.63926205553128</v>
      </c>
      <c r="Q59" s="2">
        <f t="shared" si="42"/>
        <v>2.6942097905476858</v>
      </c>
      <c r="R59" s="2">
        <f t="shared" si="2"/>
        <v>4.3176438951084709E-2</v>
      </c>
      <c r="W59" s="2">
        <f t="shared" si="3"/>
        <v>154700.66203724674</v>
      </c>
      <c r="X59" s="2">
        <f t="shared" si="43"/>
        <v>1206.2754300000006</v>
      </c>
      <c r="Y59" s="2">
        <f t="shared" si="4"/>
        <v>128.24654982589396</v>
      </c>
      <c r="Z59" s="2">
        <f t="shared" si="44"/>
        <v>5.1928547260844873</v>
      </c>
      <c r="AA59" s="2">
        <f t="shared" si="5"/>
        <v>1.2921091089188101</v>
      </c>
      <c r="AB59" s="2">
        <f t="shared" si="6"/>
        <v>1.0936663595574534</v>
      </c>
      <c r="AC59" s="2">
        <f t="shared" si="7"/>
        <v>1.4025893727388902E-2</v>
      </c>
      <c r="AD59" s="2">
        <f t="shared" si="8"/>
        <v>3210441.432113315</v>
      </c>
      <c r="AI59">
        <f t="shared" si="9"/>
        <v>1.5714972868011274E-6</v>
      </c>
      <c r="AK59">
        <f t="shared" si="10"/>
        <v>8.3878739990364326E-6</v>
      </c>
      <c r="AL59">
        <f t="shared" si="11"/>
        <v>-3.9896244547475201</v>
      </c>
      <c r="AM59">
        <f t="shared" si="12"/>
        <v>15.097238689757601</v>
      </c>
      <c r="AN59">
        <f t="shared" si="13"/>
        <v>227.92661605551382</v>
      </c>
      <c r="AO59">
        <f t="shared" si="14"/>
        <v>4.3873770308441732E-3</v>
      </c>
      <c r="AQ59" s="3">
        <f t="shared" si="45"/>
        <v>174.40000000000049</v>
      </c>
      <c r="AR59" s="3">
        <f t="shared" si="15"/>
        <v>634.40000000000055</v>
      </c>
      <c r="AS59">
        <f t="shared" si="51"/>
        <v>896.02691481751276</v>
      </c>
      <c r="AV59" s="3">
        <f t="shared" si="16"/>
        <v>1.6917333333333349</v>
      </c>
      <c r="AW59" s="3">
        <f t="shared" si="17"/>
        <v>1.3353605287891397</v>
      </c>
      <c r="AX59" s="4">
        <v>0.8</v>
      </c>
      <c r="AY59" s="5">
        <f t="shared" si="18"/>
        <v>0.2664037940177732</v>
      </c>
      <c r="AZ59" s="5">
        <f t="shared" si="19"/>
        <v>-0.11137570218131849</v>
      </c>
      <c r="BA59" s="5">
        <f t="shared" si="20"/>
        <v>1.2548767699065736E-2</v>
      </c>
      <c r="BB59" s="5">
        <f t="shared" si="21"/>
        <v>-5.2525525213028074E-5</v>
      </c>
      <c r="BC59" s="5">
        <f t="shared" si="22"/>
        <v>9.4515242500307108E-3</v>
      </c>
      <c r="BD59" s="5">
        <f t="shared" si="23"/>
        <v>0.95011706312422817</v>
      </c>
      <c r="BE59" s="6">
        <f t="shared" si="24"/>
        <v>0.91020564550544691</v>
      </c>
      <c r="BF59" s="7">
        <f t="shared" si="25"/>
        <v>0.11020564550544687</v>
      </c>
      <c r="BG59" s="5">
        <v>0.85</v>
      </c>
      <c r="BH59" s="5">
        <f t="shared" si="26"/>
        <v>0.25073298260496302</v>
      </c>
      <c r="BI59" s="5">
        <f t="shared" si="27"/>
        <v>-0.10482419028829977</v>
      </c>
      <c r="BJ59" s="5">
        <f t="shared" si="28"/>
        <v>1.1115863428930204E-2</v>
      </c>
      <c r="BK59" s="5">
        <f t="shared" si="29"/>
        <v>-3.8790529698255628E-5</v>
      </c>
      <c r="BL59" s="5">
        <f t="shared" si="30"/>
        <v>8.3257469450470963E-3</v>
      </c>
      <c r="BM59" s="5">
        <f t="shared" si="31"/>
        <v>0.95568479982126275</v>
      </c>
      <c r="BN59" s="8">
        <f t="shared" si="32"/>
        <v>0.91428725347286843</v>
      </c>
      <c r="BO59" s="9">
        <f t="shared" si="33"/>
        <v>6.4287253472868455E-2</v>
      </c>
      <c r="BP59" s="10">
        <f t="shared" si="34"/>
        <v>-0.91836784065156951</v>
      </c>
      <c r="BQ59" s="10">
        <f t="shared" si="35"/>
        <v>0.920001638371023</v>
      </c>
    </row>
    <row r="60" spans="2:69">
      <c r="B60">
        <f t="shared" si="36"/>
        <v>8800</v>
      </c>
      <c r="C60">
        <f t="shared" si="46"/>
        <v>175.2000000000005</v>
      </c>
      <c r="D60">
        <f t="shared" si="0"/>
        <v>635.2000000000005</v>
      </c>
      <c r="E60">
        <f t="shared" si="37"/>
        <v>634.80000000000052</v>
      </c>
      <c r="F60">
        <f t="shared" si="47"/>
        <v>904.63926205553128</v>
      </c>
      <c r="G60">
        <f t="shared" si="38"/>
        <v>900.33308843652208</v>
      </c>
      <c r="H60">
        <f t="shared" si="1"/>
        <v>0.91972177068394323</v>
      </c>
      <c r="I60">
        <f t="shared" si="39"/>
        <v>0.91986170452748306</v>
      </c>
      <c r="K60">
        <f t="shared" si="40"/>
        <v>-7.4636464896919545E-3</v>
      </c>
      <c r="L60">
        <f t="shared" si="41"/>
        <v>4.3873770308441732E-3</v>
      </c>
      <c r="M60">
        <f t="shared" si="48"/>
        <v>472122007.76275218</v>
      </c>
      <c r="N60">
        <f t="shared" si="49"/>
        <v>833999.75545001519</v>
      </c>
      <c r="O60">
        <f t="shared" si="50"/>
        <v>913.23587065446304</v>
      </c>
      <c r="Q60" s="2">
        <f t="shared" si="42"/>
        <v>2.7175065919020405</v>
      </c>
      <c r="R60" s="2">
        <f t="shared" si="2"/>
        <v>4.3549785126635265E-2</v>
      </c>
      <c r="W60" s="2">
        <f t="shared" si="3"/>
        <v>154993.37847323462</v>
      </c>
      <c r="X60" s="2">
        <f t="shared" si="43"/>
        <v>1207.0754300000006</v>
      </c>
      <c r="Y60" s="2">
        <f t="shared" si="4"/>
        <v>128.40405381562158</v>
      </c>
      <c r="Z60" s="2">
        <f t="shared" si="44"/>
        <v>5.1908964704408049</v>
      </c>
      <c r="AA60" s="2">
        <f t="shared" si="5"/>
        <v>1.2925446249739652</v>
      </c>
      <c r="AB60" s="2">
        <f t="shared" si="6"/>
        <v>1.0945898576844664</v>
      </c>
      <c r="AC60" s="2">
        <f t="shared" si="7"/>
        <v>1.4054977499214978E-2</v>
      </c>
      <c r="AD60" s="2">
        <f t="shared" si="8"/>
        <v>3203798.109768773</v>
      </c>
      <c r="AI60">
        <f t="shared" si="9"/>
        <v>1.5747559075637654E-6</v>
      </c>
      <c r="AK60">
        <f t="shared" si="10"/>
        <v>8.403492916464973E-6</v>
      </c>
      <c r="AL60">
        <f t="shared" si="11"/>
        <v>-3.989558229043817</v>
      </c>
      <c r="AM60">
        <f t="shared" si="12"/>
        <v>15.097105458763222</v>
      </c>
      <c r="AN60">
        <f t="shared" si="13"/>
        <v>227.92259323301829</v>
      </c>
      <c r="AO60">
        <f t="shared" si="14"/>
        <v>4.3874544678317298E-3</v>
      </c>
      <c r="AQ60" s="3">
        <f t="shared" si="45"/>
        <v>175.2000000000005</v>
      </c>
      <c r="AR60" s="3">
        <f t="shared" si="15"/>
        <v>635.2000000000005</v>
      </c>
      <c r="AS60">
        <f t="shared" si="51"/>
        <v>904.63926205553128</v>
      </c>
      <c r="AV60" s="3">
        <f t="shared" si="16"/>
        <v>1.693866666666668</v>
      </c>
      <c r="AW60" s="3">
        <f t="shared" si="17"/>
        <v>1.3481956215432658</v>
      </c>
      <c r="AX60" s="4">
        <v>0.8</v>
      </c>
      <c r="AY60" s="5">
        <f t="shared" si="18"/>
        <v>0.26862564287085872</v>
      </c>
      <c r="AZ60" s="5">
        <f t="shared" si="19"/>
        <v>-0.11197512758671087</v>
      </c>
      <c r="BA60" s="5">
        <f t="shared" si="20"/>
        <v>1.2786797953249922E-2</v>
      </c>
      <c r="BB60" s="5">
        <f t="shared" si="21"/>
        <v>-5.469573494270838E-5</v>
      </c>
      <c r="BC60" s="5">
        <f t="shared" si="22"/>
        <v>9.5813785347486011E-3</v>
      </c>
      <c r="BD60" s="5">
        <f t="shared" si="23"/>
        <v>0.94930307424920957</v>
      </c>
      <c r="BE60" s="6">
        <f t="shared" si="24"/>
        <v>0.90996199820006385</v>
      </c>
      <c r="BF60" s="7">
        <f t="shared" si="25"/>
        <v>0.1099619982000638</v>
      </c>
      <c r="BG60" s="5">
        <v>0.85</v>
      </c>
      <c r="BH60" s="5">
        <f t="shared" si="26"/>
        <v>0.25282413446669055</v>
      </c>
      <c r="BI60" s="5">
        <f t="shared" si="27"/>
        <v>-0.10538835537572788</v>
      </c>
      <c r="BJ60" s="5">
        <f t="shared" si="28"/>
        <v>1.1326713757896125E-2</v>
      </c>
      <c r="BK60" s="5">
        <f t="shared" si="29"/>
        <v>-4.0393247322290466E-5</v>
      </c>
      <c r="BL60" s="5">
        <f t="shared" si="30"/>
        <v>8.4393830724129645E-3</v>
      </c>
      <c r="BM60" s="5">
        <f t="shared" si="31"/>
        <v>0.95495949694136351</v>
      </c>
      <c r="BN60" s="8">
        <f t="shared" si="32"/>
        <v>0.91403802064281758</v>
      </c>
      <c r="BO60" s="9">
        <f t="shared" si="33"/>
        <v>6.4038020642817606E-2</v>
      </c>
      <c r="BP60" s="10">
        <f t="shared" si="34"/>
        <v>-0.91847955114492519</v>
      </c>
      <c r="BQ60" s="10">
        <f t="shared" si="35"/>
        <v>0.91972177068394323</v>
      </c>
    </row>
    <row r="61" spans="2:69">
      <c r="B61">
        <f t="shared" si="36"/>
        <v>9000</v>
      </c>
      <c r="C61">
        <f t="shared" si="46"/>
        <v>176.00000000000051</v>
      </c>
      <c r="D61">
        <f t="shared" si="0"/>
        <v>636.00000000000045</v>
      </c>
      <c r="E61">
        <f t="shared" si="37"/>
        <v>635.60000000000048</v>
      </c>
      <c r="F61">
        <f t="shared" si="47"/>
        <v>913.23587065446304</v>
      </c>
      <c r="G61">
        <f t="shared" si="38"/>
        <v>908.93756635499722</v>
      </c>
      <c r="H61">
        <f t="shared" si="1"/>
        <v>0.91945096909320867</v>
      </c>
      <c r="I61">
        <f t="shared" si="39"/>
        <v>0.91958636988857601</v>
      </c>
      <c r="K61">
        <f t="shared" si="40"/>
        <v>-7.456484234950358E-3</v>
      </c>
      <c r="L61">
        <f t="shared" si="41"/>
        <v>4.3874544678317298E-3</v>
      </c>
      <c r="M61">
        <f t="shared" si="48"/>
        <v>473037776.8804481</v>
      </c>
      <c r="N61">
        <f t="shared" si="49"/>
        <v>849747.62897875148</v>
      </c>
      <c r="O61">
        <f t="shared" si="50"/>
        <v>921.81756816560585</v>
      </c>
      <c r="Q61" s="2">
        <f t="shared" si="42"/>
        <v>2.7406867551685385</v>
      </c>
      <c r="R61" s="2">
        <f t="shared" si="2"/>
        <v>4.3921262102059912E-2</v>
      </c>
      <c r="W61" s="2">
        <f t="shared" si="3"/>
        <v>155286.27929755958</v>
      </c>
      <c r="X61" s="2">
        <f t="shared" si="43"/>
        <v>1207.8754300000005</v>
      </c>
      <c r="Y61" s="2">
        <f t="shared" si="4"/>
        <v>128.56150182437233</v>
      </c>
      <c r="Z61" s="2">
        <f t="shared" si="44"/>
        <v>5.1889431412264138</v>
      </c>
      <c r="AA61" s="2">
        <f t="shared" si="5"/>
        <v>1.2929790453912458</v>
      </c>
      <c r="AB61" s="2">
        <f t="shared" si="6"/>
        <v>1.0955090284793183</v>
      </c>
      <c r="AC61" s="2">
        <f t="shared" si="7"/>
        <v>1.4084028596346025E-2</v>
      </c>
      <c r="AD61" s="2">
        <f t="shared" si="8"/>
        <v>3197189.6419260353</v>
      </c>
      <c r="AI61">
        <f t="shared" si="9"/>
        <v>1.5780108673693486E-6</v>
      </c>
      <c r="AK61">
        <f t="shared" si="10"/>
        <v>8.4190909990154402E-6</v>
      </c>
      <c r="AL61">
        <f t="shared" si="11"/>
        <v>-3.9894921017590348</v>
      </c>
      <c r="AM61">
        <f t="shared" si="12"/>
        <v>15.096972391709052</v>
      </c>
      <c r="AN61">
        <f t="shared" si="13"/>
        <v>227.91857539602532</v>
      </c>
      <c r="AO61">
        <f t="shared" si="14"/>
        <v>4.3875318115797549E-3</v>
      </c>
      <c r="AQ61" s="3">
        <f t="shared" si="45"/>
        <v>176.00000000000051</v>
      </c>
      <c r="AR61" s="3">
        <f t="shared" si="15"/>
        <v>636.00000000000045</v>
      </c>
      <c r="AS61">
        <f t="shared" si="51"/>
        <v>913.23587065446304</v>
      </c>
      <c r="AV61" s="3">
        <f t="shared" si="16"/>
        <v>1.6960000000000013</v>
      </c>
      <c r="AW61" s="3">
        <f t="shared" si="17"/>
        <v>1.3610072587994979</v>
      </c>
      <c r="AX61" s="4">
        <v>0.8</v>
      </c>
      <c r="AY61" s="5">
        <f t="shared" si="18"/>
        <v>0.27083723457831971</v>
      </c>
      <c r="AZ61" s="5">
        <f t="shared" si="19"/>
        <v>-0.11256598026081971</v>
      </c>
      <c r="BA61" s="5">
        <f t="shared" si="20"/>
        <v>1.3026455877593615E-2</v>
      </c>
      <c r="BB61" s="5">
        <f t="shared" si="21"/>
        <v>-5.692540812976619E-5</v>
      </c>
      <c r="BC61" s="5">
        <f t="shared" si="22"/>
        <v>9.7110208641811701E-3</v>
      </c>
      <c r="BD61" s="5">
        <f t="shared" si="23"/>
        <v>0.94848683045625803</v>
      </c>
      <c r="BE61" s="6">
        <f t="shared" si="24"/>
        <v>0.90972817642486548</v>
      </c>
      <c r="BF61" s="7">
        <f t="shared" si="25"/>
        <v>0.10972817642486543</v>
      </c>
      <c r="BG61" s="5">
        <v>0.85</v>
      </c>
      <c r="BH61" s="5">
        <f t="shared" si="26"/>
        <v>0.25490563254430088</v>
      </c>
      <c r="BI61" s="5">
        <f t="shared" si="27"/>
        <v>-0.10594445201018324</v>
      </c>
      <c r="BJ61" s="5">
        <f t="shared" si="28"/>
        <v>1.1539005898491227E-2</v>
      </c>
      <c r="BK61" s="5">
        <f t="shared" si="29"/>
        <v>-4.2039879195635676E-5</v>
      </c>
      <c r="BL61" s="5">
        <f t="shared" si="30"/>
        <v>8.5528106456252851E-3</v>
      </c>
      <c r="BM61" s="5">
        <f t="shared" si="31"/>
        <v>0.95423211350836423</v>
      </c>
      <c r="BN61" s="8">
        <f t="shared" si="32"/>
        <v>0.91379796034631544</v>
      </c>
      <c r="BO61" s="9">
        <f t="shared" si="33"/>
        <v>6.3797960346315463E-2</v>
      </c>
      <c r="BP61" s="10">
        <f t="shared" si="34"/>
        <v>-0.91860432157100058</v>
      </c>
      <c r="BQ61" s="10">
        <f t="shared" si="35"/>
        <v>0.91945096909320867</v>
      </c>
    </row>
    <row r="62" spans="2:69">
      <c r="B62">
        <f t="shared" si="36"/>
        <v>9200</v>
      </c>
      <c r="C62">
        <f t="shared" si="46"/>
        <v>176.80000000000052</v>
      </c>
      <c r="D62">
        <f t="shared" si="0"/>
        <v>636.80000000000052</v>
      </c>
      <c r="E62">
        <f t="shared" si="37"/>
        <v>636.40000000000055</v>
      </c>
      <c r="F62">
        <f t="shared" si="47"/>
        <v>921.81756816560585</v>
      </c>
      <c r="G62">
        <f t="shared" si="38"/>
        <v>917.5267194100345</v>
      </c>
      <c r="H62">
        <f t="shared" si="1"/>
        <v>0.91918908337431016</v>
      </c>
      <c r="I62">
        <f t="shared" si="39"/>
        <v>0.91932002623375941</v>
      </c>
      <c r="K62">
        <f t="shared" si="40"/>
        <v>-7.4492684675242045E-3</v>
      </c>
      <c r="L62">
        <f t="shared" si="41"/>
        <v>4.3875318115797549E-3</v>
      </c>
      <c r="M62">
        <f t="shared" si="48"/>
        <v>473962996.12683958</v>
      </c>
      <c r="N62">
        <f t="shared" si="49"/>
        <v>865616.52902341657</v>
      </c>
      <c r="O62">
        <f t="shared" si="50"/>
        <v>930.38515090440717</v>
      </c>
      <c r="Q62" s="2">
        <f t="shared" si="42"/>
        <v>2.7637528154827007</v>
      </c>
      <c r="R62" s="2">
        <f t="shared" si="2"/>
        <v>4.4290910504530462E-2</v>
      </c>
      <c r="W62" s="2">
        <f t="shared" si="3"/>
        <v>155579.36439421689</v>
      </c>
      <c r="X62" s="2">
        <f t="shared" si="43"/>
        <v>1208.6754300000007</v>
      </c>
      <c r="Y62" s="2">
        <f t="shared" si="4"/>
        <v>128.71889386732781</v>
      </c>
      <c r="Z62" s="2">
        <f t="shared" si="44"/>
        <v>5.1869947198743702</v>
      </c>
      <c r="AA62" s="2">
        <f t="shared" si="5"/>
        <v>1.2934123742999402</v>
      </c>
      <c r="AB62" s="2">
        <f t="shared" si="6"/>
        <v>1.0964239587894984</v>
      </c>
      <c r="AC62" s="2">
        <f t="shared" si="7"/>
        <v>1.4113047918502085E-2</v>
      </c>
      <c r="AD62" s="2">
        <f t="shared" si="8"/>
        <v>3190615.5640408862</v>
      </c>
      <c r="AI62">
        <f t="shared" si="9"/>
        <v>1.5812622670248306E-6</v>
      </c>
      <c r="AK62">
        <f t="shared" si="10"/>
        <v>8.4346687481535125E-6</v>
      </c>
      <c r="AL62">
        <f t="shared" si="11"/>
        <v>-3.9894260707243068</v>
      </c>
      <c r="AM62">
        <f t="shared" si="12"/>
        <v>15.096839484422306</v>
      </c>
      <c r="AN62">
        <f t="shared" si="13"/>
        <v>227.91456241841234</v>
      </c>
      <c r="AO62">
        <f t="shared" si="14"/>
        <v>4.387609064506243E-3</v>
      </c>
      <c r="AQ62" s="3">
        <f t="shared" si="45"/>
        <v>176.80000000000052</v>
      </c>
      <c r="AR62" s="3">
        <f t="shared" si="15"/>
        <v>636.80000000000052</v>
      </c>
      <c r="AS62">
        <f t="shared" si="51"/>
        <v>921.81756816560585</v>
      </c>
      <c r="AV62" s="3">
        <f t="shared" si="16"/>
        <v>1.6981333333333348</v>
      </c>
      <c r="AW62" s="3">
        <f t="shared" si="17"/>
        <v>1.373796673868265</v>
      </c>
      <c r="AX62" s="4">
        <v>0.8</v>
      </c>
      <c r="AY62" s="5">
        <f t="shared" si="18"/>
        <v>0.2730388529152829</v>
      </c>
      <c r="AZ62" s="5">
        <f t="shared" si="19"/>
        <v>-0.1131484374083542</v>
      </c>
      <c r="BA62" s="5">
        <f t="shared" si="20"/>
        <v>1.3267747227852735E-2</v>
      </c>
      <c r="BB62" s="5">
        <f t="shared" si="21"/>
        <v>-5.9215466864262705E-5</v>
      </c>
      <c r="BC62" s="5">
        <f t="shared" si="22"/>
        <v>9.840455241958989E-3</v>
      </c>
      <c r="BD62" s="5">
        <f t="shared" si="23"/>
        <v>0.94766832587998651</v>
      </c>
      <c r="BE62" s="6">
        <f t="shared" si="24"/>
        <v>0.90950401303140693</v>
      </c>
      <c r="BF62" s="7">
        <f t="shared" si="25"/>
        <v>0.10950401303140689</v>
      </c>
      <c r="BG62" s="5">
        <v>0.85</v>
      </c>
      <c r="BH62" s="5">
        <f t="shared" si="26"/>
        <v>0.25697774392026623</v>
      </c>
      <c r="BI62" s="5">
        <f t="shared" si="27"/>
        <v>-0.10649264697256865</v>
      </c>
      <c r="BJ62" s="5">
        <f t="shared" si="28"/>
        <v>1.175274494923979E-2</v>
      </c>
      <c r="BK62" s="5">
        <f t="shared" si="29"/>
        <v>-4.3731106289338366E-5</v>
      </c>
      <c r="BL62" s="5">
        <f t="shared" si="30"/>
        <v>8.6660331780595463E-3</v>
      </c>
      <c r="BM62" s="5">
        <f t="shared" si="31"/>
        <v>0.95350264363403825</v>
      </c>
      <c r="BN62" s="8">
        <f t="shared" si="32"/>
        <v>0.9135669146280605</v>
      </c>
      <c r="BO62" s="9">
        <f t="shared" si="33"/>
        <v>6.3566914628060522E-2</v>
      </c>
      <c r="BP62" s="10">
        <f t="shared" si="34"/>
        <v>-0.91874196806692854</v>
      </c>
      <c r="BQ62" s="10">
        <f t="shared" si="35"/>
        <v>0.91918908337431016</v>
      </c>
    </row>
    <row r="63" spans="2:69">
      <c r="B63">
        <f t="shared" si="36"/>
        <v>9400</v>
      </c>
      <c r="C63">
        <f t="shared" si="46"/>
        <v>177.60000000000053</v>
      </c>
      <c r="D63">
        <f t="shared" si="0"/>
        <v>637.60000000000059</v>
      </c>
      <c r="E63">
        <f t="shared" si="37"/>
        <v>637.2000000000005</v>
      </c>
      <c r="F63">
        <f t="shared" si="47"/>
        <v>930.38515090440717</v>
      </c>
      <c r="G63">
        <f t="shared" si="38"/>
        <v>926.10135953500651</v>
      </c>
      <c r="H63">
        <f t="shared" si="1"/>
        <v>0.91893596814715517</v>
      </c>
      <c r="I63">
        <f t="shared" si="39"/>
        <v>0.91906252576073266</v>
      </c>
      <c r="K63">
        <f t="shared" si="40"/>
        <v>-7.4420004604370945E-3</v>
      </c>
      <c r="L63">
        <f t="shared" si="41"/>
        <v>4.387609064506243E-3</v>
      </c>
      <c r="M63">
        <f t="shared" si="48"/>
        <v>474897573.2984944</v>
      </c>
      <c r="N63">
        <f t="shared" si="49"/>
        <v>881607.16967760818</v>
      </c>
      <c r="O63">
        <f t="shared" si="50"/>
        <v>938.93938551836675</v>
      </c>
      <c r="Q63" s="2">
        <f t="shared" si="42"/>
        <v>2.7867072100135268</v>
      </c>
      <c r="R63" s="2">
        <f t="shared" si="2"/>
        <v>4.4658769391242421E-2</v>
      </c>
      <c r="W63" s="2">
        <f t="shared" si="3"/>
        <v>155872.6336474212</v>
      </c>
      <c r="X63" s="2">
        <f t="shared" si="43"/>
        <v>1209.4754300000006</v>
      </c>
      <c r="Y63" s="2">
        <f t="shared" si="4"/>
        <v>128.87622995981084</v>
      </c>
      <c r="Z63" s="2">
        <f t="shared" si="44"/>
        <v>5.185051187910914</v>
      </c>
      <c r="AA63" s="2">
        <f t="shared" si="5"/>
        <v>1.2938446158086128</v>
      </c>
      <c r="AB63" s="2">
        <f t="shared" si="6"/>
        <v>1.0973347323472791</v>
      </c>
      <c r="AC63" s="2">
        <f t="shared" si="7"/>
        <v>1.4142036330887543E-2</v>
      </c>
      <c r="AD63" s="2">
        <f t="shared" si="8"/>
        <v>3184075.4252963779</v>
      </c>
      <c r="AI63">
        <f t="shared" si="9"/>
        <v>1.5845102034699403E-6</v>
      </c>
      <c r="AK63">
        <f t="shared" si="10"/>
        <v>8.4502266463237422E-6</v>
      </c>
      <c r="AL63">
        <f t="shared" si="11"/>
        <v>-3.9893601338527436</v>
      </c>
      <c r="AM63">
        <f t="shared" si="12"/>
        <v>15.096706732890105</v>
      </c>
      <c r="AN63">
        <f t="shared" si="13"/>
        <v>227.91055417888944</v>
      </c>
      <c r="AO63">
        <f t="shared" si="14"/>
        <v>4.3876862289365035E-3</v>
      </c>
      <c r="AQ63" s="3">
        <f t="shared" si="45"/>
        <v>177.60000000000053</v>
      </c>
      <c r="AR63" s="3">
        <f t="shared" si="15"/>
        <v>637.60000000000059</v>
      </c>
      <c r="AS63">
        <f t="shared" si="51"/>
        <v>930.38515090440717</v>
      </c>
      <c r="AV63" s="3">
        <f t="shared" si="16"/>
        <v>1.7002666666666681</v>
      </c>
      <c r="AW63" s="3">
        <f t="shared" si="17"/>
        <v>1.3865650535088034</v>
      </c>
      <c r="AX63" s="4">
        <v>0.8</v>
      </c>
      <c r="AY63" s="5">
        <f t="shared" si="18"/>
        <v>0.27523077099232712</v>
      </c>
      <c r="AZ63" s="5">
        <f t="shared" si="19"/>
        <v>-0.11372267004048417</v>
      </c>
      <c r="BA63" s="5">
        <f t="shared" si="20"/>
        <v>1.351067773144757E-2</v>
      </c>
      <c r="BB63" s="5">
        <f t="shared" si="21"/>
        <v>-6.156684091935669E-5</v>
      </c>
      <c r="BC63" s="5">
        <f t="shared" si="22"/>
        <v>9.9696856071743341E-3</v>
      </c>
      <c r="BD63" s="5">
        <f t="shared" si="23"/>
        <v>0.94684755489481442</v>
      </c>
      <c r="BE63" s="6">
        <f t="shared" si="24"/>
        <v>0.90928934697210584</v>
      </c>
      <c r="BF63" s="7">
        <f t="shared" si="25"/>
        <v>0.10928934697210579</v>
      </c>
      <c r="BG63" s="5">
        <v>0.85</v>
      </c>
      <c r="BH63" s="5">
        <f t="shared" si="26"/>
        <v>0.25904072563983732</v>
      </c>
      <c r="BI63" s="5">
        <f t="shared" si="27"/>
        <v>-0.10703310121457334</v>
      </c>
      <c r="BJ63" s="5">
        <f t="shared" si="28"/>
        <v>1.1967935983566016E-2</v>
      </c>
      <c r="BK63" s="5">
        <f t="shared" si="29"/>
        <v>-4.5467615248476003E-5</v>
      </c>
      <c r="BL63" s="5">
        <f t="shared" si="30"/>
        <v>8.7790541253599148E-3</v>
      </c>
      <c r="BM63" s="5">
        <f t="shared" si="31"/>
        <v>0.95277108163894164</v>
      </c>
      <c r="BN63" s="8">
        <f t="shared" si="32"/>
        <v>0.91334473127902716</v>
      </c>
      <c r="BO63" s="9">
        <f t="shared" si="33"/>
        <v>6.3344731279027178E-2</v>
      </c>
      <c r="BP63" s="10">
        <f t="shared" si="34"/>
        <v>-0.91889231386157355</v>
      </c>
      <c r="BQ63" s="10">
        <f t="shared" si="35"/>
        <v>0.91893596814715517</v>
      </c>
    </row>
    <row r="64" spans="2:69">
      <c r="B64">
        <f t="shared" si="36"/>
        <v>9600</v>
      </c>
      <c r="C64">
        <f t="shared" si="46"/>
        <v>178.40000000000055</v>
      </c>
      <c r="D64">
        <f t="shared" si="0"/>
        <v>638.40000000000055</v>
      </c>
      <c r="E64">
        <f t="shared" si="37"/>
        <v>638.00000000000057</v>
      </c>
      <c r="F64">
        <f t="shared" si="47"/>
        <v>938.93938551836675</v>
      </c>
      <c r="G64">
        <f t="shared" si="38"/>
        <v>934.66226821138696</v>
      </c>
      <c r="H64">
        <f t="shared" si="1"/>
        <v>0.91869148264236966</v>
      </c>
      <c r="I64">
        <f t="shared" si="39"/>
        <v>0.91881372539476236</v>
      </c>
      <c r="K64">
        <f t="shared" si="40"/>
        <v>-7.4346814487146057E-3</v>
      </c>
      <c r="L64">
        <f t="shared" si="41"/>
        <v>4.3876862289365035E-3</v>
      </c>
      <c r="M64">
        <f t="shared" si="48"/>
        <v>475841420.07307798</v>
      </c>
      <c r="N64">
        <f t="shared" si="49"/>
        <v>897720.26517381961</v>
      </c>
      <c r="O64">
        <f t="shared" si="50"/>
        <v>947.48101045552335</v>
      </c>
      <c r="Q64" s="2">
        <f t="shared" si="42"/>
        <v>2.809552282885337</v>
      </c>
      <c r="R64" s="2">
        <f t="shared" si="2"/>
        <v>4.5024876328290657E-2</v>
      </c>
      <c r="W64" s="2">
        <f t="shared" si="3"/>
        <v>156166.08694160552</v>
      </c>
      <c r="X64" s="2">
        <f t="shared" si="43"/>
        <v>1210.2754300000006</v>
      </c>
      <c r="Y64" s="2">
        <f t="shared" si="4"/>
        <v>129.03351011728415</v>
      </c>
      <c r="Z64" s="2">
        <f t="shared" si="44"/>
        <v>5.1831125269548854</v>
      </c>
      <c r="AA64" s="2">
        <f t="shared" si="5"/>
        <v>1.2942757740052335</v>
      </c>
      <c r="AB64" s="2">
        <f t="shared" si="6"/>
        <v>1.098241429916325</v>
      </c>
      <c r="AC64" s="2">
        <f t="shared" si="7"/>
        <v>1.4170994665832874E-2</v>
      </c>
      <c r="AD64" s="2">
        <f t="shared" si="8"/>
        <v>3177568.7879832443</v>
      </c>
      <c r="AI64">
        <f t="shared" si="9"/>
        <v>1.5877547699611293E-6</v>
      </c>
      <c r="AK64">
        <f t="shared" si="10"/>
        <v>8.4657651578537737E-6</v>
      </c>
      <c r="AL64">
        <f t="shared" si="11"/>
        <v>-3.9892942891355392</v>
      </c>
      <c r="AM64">
        <f t="shared" si="12"/>
        <v>15.09657413325186</v>
      </c>
      <c r="AN64">
        <f t="shared" si="13"/>
        <v>227.90655056076915</v>
      </c>
      <c r="AO64">
        <f t="shared" si="14"/>
        <v>4.387763307107574E-3</v>
      </c>
      <c r="AQ64" s="3">
        <f t="shared" si="45"/>
        <v>178.40000000000055</v>
      </c>
      <c r="AR64" s="3">
        <f t="shared" si="15"/>
        <v>638.40000000000055</v>
      </c>
      <c r="AS64">
        <f t="shared" si="51"/>
        <v>938.93938551836675</v>
      </c>
      <c r="AV64" s="3">
        <f t="shared" si="16"/>
        <v>1.7024000000000015</v>
      </c>
      <c r="AW64" s="3">
        <f t="shared" si="17"/>
        <v>1.3993135402658223</v>
      </c>
      <c r="AX64" s="4">
        <v>0.8</v>
      </c>
      <c r="AY64" s="5">
        <f t="shared" si="18"/>
        <v>0.27741325178554666</v>
      </c>
      <c r="AZ64" s="5">
        <f t="shared" si="19"/>
        <v>-0.11428884327299266</v>
      </c>
      <c r="BA64" s="5">
        <f t="shared" si="20"/>
        <v>1.3755253087856412E-2</v>
      </c>
      <c r="BB64" s="5">
        <f t="shared" si="21"/>
        <v>-6.3980467809502135E-5</v>
      </c>
      <c r="BC64" s="5">
        <f t="shared" si="22"/>
        <v>1.0098715835867741E-2</v>
      </c>
      <c r="BD64" s="5">
        <f t="shared" si="23"/>
        <v>0.94602451211061078</v>
      </c>
      <c r="BE64" s="6">
        <f t="shared" si="24"/>
        <v>0.90908402300424374</v>
      </c>
      <c r="BF64" s="7">
        <f t="shared" si="25"/>
        <v>0.10908402300424369</v>
      </c>
      <c r="BG64" s="5">
        <v>0.85</v>
      </c>
      <c r="BH64" s="5">
        <f t="shared" si="26"/>
        <v>0.26109482520992627</v>
      </c>
      <c r="BI64" s="5">
        <f t="shared" si="27"/>
        <v>-0.1075659701392872</v>
      </c>
      <c r="BJ64" s="5">
        <f t="shared" si="28"/>
        <v>1.2184584050142704E-2</v>
      </c>
      <c r="BK64" s="5">
        <f t="shared" si="29"/>
        <v>-4.7250098435135731E-5</v>
      </c>
      <c r="BL64" s="5">
        <f t="shared" si="30"/>
        <v>8.8918768867784544E-3</v>
      </c>
      <c r="BM64" s="5">
        <f t="shared" si="31"/>
        <v>0.95203742204860442</v>
      </c>
      <c r="BN64" s="8">
        <f t="shared" si="32"/>
        <v>0.91313126355775265</v>
      </c>
      <c r="BO64" s="9">
        <f t="shared" si="33"/>
        <v>6.313126355775267E-2</v>
      </c>
      <c r="BP64" s="10">
        <f t="shared" si="34"/>
        <v>-0.91905518892982163</v>
      </c>
      <c r="BQ64" s="10">
        <f t="shared" si="35"/>
        <v>0.91869148264236966</v>
      </c>
    </row>
    <row r="65" spans="2:69">
      <c r="B65">
        <f t="shared" si="36"/>
        <v>9800</v>
      </c>
      <c r="C65">
        <f t="shared" si="46"/>
        <v>179.20000000000056</v>
      </c>
      <c r="D65">
        <f t="shared" si="0"/>
        <v>639.2000000000005</v>
      </c>
      <c r="E65">
        <f t="shared" si="37"/>
        <v>638.80000000000052</v>
      </c>
      <c r="F65">
        <f t="shared" si="47"/>
        <v>947.48101045552335</v>
      </c>
      <c r="G65">
        <f t="shared" si="38"/>
        <v>943.2101979869451</v>
      </c>
      <c r="H65">
        <f t="shared" si="1"/>
        <v>0.91845549048186625</v>
      </c>
      <c r="I65">
        <f t="shared" si="39"/>
        <v>0.91857348656211801</v>
      </c>
      <c r="K65">
        <f t="shared" si="40"/>
        <v>-7.4273126311487966E-3</v>
      </c>
      <c r="L65">
        <f t="shared" si="41"/>
        <v>4.387763307107574E-3</v>
      </c>
      <c r="M65">
        <f t="shared" si="48"/>
        <v>476794451.81575674</v>
      </c>
      <c r="N65">
        <f t="shared" si="49"/>
        <v>913956.52991146292</v>
      </c>
      <c r="O65">
        <f t="shared" si="50"/>
        <v>956.01073734109434</v>
      </c>
      <c r="Q65" s="2">
        <f t="shared" si="42"/>
        <v>2.8322902897907301</v>
      </c>
      <c r="R65" s="2">
        <f t="shared" si="2"/>
        <v>4.5389267464595033E-2</v>
      </c>
      <c r="W65" s="2">
        <f t="shared" si="3"/>
        <v>156459.72416141929</v>
      </c>
      <c r="X65" s="2">
        <f t="shared" si="43"/>
        <v>1211.0754300000006</v>
      </c>
      <c r="Y65" s="2">
        <f t="shared" si="4"/>
        <v>129.1907343553483</v>
      </c>
      <c r="Z65" s="2">
        <f t="shared" si="44"/>
        <v>5.1811787187171454</v>
      </c>
      <c r="AA65" s="2">
        <f t="shared" si="5"/>
        <v>1.294705852957307</v>
      </c>
      <c r="AB65" s="2">
        <f t="shared" si="6"/>
        <v>1.0991441294295101</v>
      </c>
      <c r="AC65" s="2">
        <f t="shared" si="7"/>
        <v>1.4199923724336842E-2</v>
      </c>
      <c r="AD65" s="2">
        <f t="shared" si="8"/>
        <v>3171095.2269168277</v>
      </c>
      <c r="AI65">
        <f t="shared" si="9"/>
        <v>1.5909960562443643E-6</v>
      </c>
      <c r="AK65">
        <f t="shared" si="10"/>
        <v>8.4812847298037119E-6</v>
      </c>
      <c r="AL65">
        <f t="shared" si="11"/>
        <v>-3.9892285346383054</v>
      </c>
      <c r="AM65">
        <f t="shared" si="12"/>
        <v>15.096441681792129</v>
      </c>
      <c r="AN65">
        <f t="shared" si="13"/>
        <v>227.90255145175075</v>
      </c>
      <c r="AO65">
        <f t="shared" si="14"/>
        <v>4.3878403011723627E-3</v>
      </c>
      <c r="AQ65" s="3">
        <f t="shared" si="45"/>
        <v>179.20000000000056</v>
      </c>
      <c r="AR65" s="3">
        <f t="shared" si="15"/>
        <v>639.2000000000005</v>
      </c>
      <c r="AS65">
        <f t="shared" si="51"/>
        <v>947.48101045552335</v>
      </c>
      <c r="AV65" s="3">
        <f t="shared" si="16"/>
        <v>1.7045333333333346</v>
      </c>
      <c r="AW65" s="3">
        <f t="shared" si="17"/>
        <v>1.4120432346580081</v>
      </c>
      <c r="AX65" s="4">
        <v>0.8</v>
      </c>
      <c r="AY65" s="5">
        <f t="shared" si="18"/>
        <v>0.2795865486332979</v>
      </c>
      <c r="AZ65" s="5">
        <f t="shared" si="19"/>
        <v>-0.11484711660609263</v>
      </c>
      <c r="BA65" s="5">
        <f t="shared" si="20"/>
        <v>1.4001478968977655E-2</v>
      </c>
      <c r="BB65" s="5">
        <f t="shared" si="21"/>
        <v>-6.6457292847081143E-5</v>
      </c>
      <c r="BC65" s="5">
        <f t="shared" si="22"/>
        <v>1.0227549742457325E-2</v>
      </c>
      <c r="BD65" s="5">
        <f t="shared" si="23"/>
        <v>0.94519919236853234</v>
      </c>
      <c r="BE65" s="6">
        <f t="shared" si="24"/>
        <v>0.90888789141221171</v>
      </c>
      <c r="BF65" s="7">
        <f t="shared" si="25"/>
        <v>0.10888789141221167</v>
      </c>
      <c r="BG65" s="5">
        <v>0.85</v>
      </c>
      <c r="BH65" s="5">
        <f t="shared" si="26"/>
        <v>0.26314028106663334</v>
      </c>
      <c r="BI65" s="5">
        <f t="shared" si="27"/>
        <v>-0.10809140386455779</v>
      </c>
      <c r="BJ65" s="5">
        <f t="shared" si="28"/>
        <v>1.2402694173212042E-2</v>
      </c>
      <c r="BK65" s="5">
        <f t="shared" si="29"/>
        <v>-4.9079253970238552E-5</v>
      </c>
      <c r="BL65" s="5">
        <f t="shared" si="30"/>
        <v>9.0045048064631601E-3</v>
      </c>
      <c r="BM65" s="5">
        <f t="shared" si="31"/>
        <v>0.95130165958989399</v>
      </c>
      <c r="BN65" s="8">
        <f t="shared" si="32"/>
        <v>0.91292636992879816</v>
      </c>
      <c r="BO65" s="9">
        <f t="shared" si="33"/>
        <v>6.2926369928798187E-2</v>
      </c>
      <c r="BP65" s="10">
        <f t="shared" si="34"/>
        <v>-0.91923042966827084</v>
      </c>
      <c r="BQ65" s="10">
        <f t="shared" si="35"/>
        <v>0.91845549048186625</v>
      </c>
    </row>
    <row r="66" spans="2:69">
      <c r="B66">
        <f t="shared" si="36"/>
        <v>10000</v>
      </c>
      <c r="C66">
        <f t="shared" si="46"/>
        <v>180.00000000000057</v>
      </c>
      <c r="D66">
        <f t="shared" si="0"/>
        <v>640.00000000000057</v>
      </c>
      <c r="E66">
        <f t="shared" si="37"/>
        <v>639.60000000000059</v>
      </c>
      <c r="F66">
        <f t="shared" si="47"/>
        <v>956.01073734109434</v>
      </c>
      <c r="G66">
        <f t="shared" si="38"/>
        <v>951.7458738983089</v>
      </c>
      <c r="H66">
        <f t="shared" si="1"/>
        <v>0.9182278594726172</v>
      </c>
      <c r="I66">
        <f t="shared" si="39"/>
        <v>0.91834167497724173</v>
      </c>
      <c r="K66">
        <f t="shared" si="40"/>
        <v>-7.4198951719565203E-3</v>
      </c>
      <c r="L66">
        <f t="shared" si="41"/>
        <v>4.3878403011723627E-3</v>
      </c>
      <c r="M66">
        <f t="shared" si="48"/>
        <v>477756587.39752293</v>
      </c>
      <c r="N66">
        <f t="shared" si="49"/>
        <v>930316.6784829133</v>
      </c>
      <c r="O66">
        <f t="shared" si="50"/>
        <v>964.52925226916432</v>
      </c>
      <c r="Q66" s="2">
        <f t="shared" si="42"/>
        <v>2.8549234023180476</v>
      </c>
      <c r="R66" s="2">
        <f t="shared" si="2"/>
        <v>4.5751977601250764E-2</v>
      </c>
      <c r="W66" s="2">
        <f t="shared" si="3"/>
        <v>156753.54519172938</v>
      </c>
      <c r="X66" s="2">
        <f t="shared" si="43"/>
        <v>1211.8754300000005</v>
      </c>
      <c r="Y66" s="2">
        <f t="shared" si="4"/>
        <v>129.34790268974206</v>
      </c>
      <c r="Z66" s="2">
        <f t="shared" si="44"/>
        <v>5.1792497449999981</v>
      </c>
      <c r="AA66" s="2">
        <f t="shared" si="5"/>
        <v>1.2951348567120005</v>
      </c>
      <c r="AB66" s="2">
        <f t="shared" si="6"/>
        <v>1.1000429061185857</v>
      </c>
      <c r="AC66" s="2">
        <f t="shared" si="7"/>
        <v>1.4228824277516788E-2</v>
      </c>
      <c r="AD66" s="2">
        <f t="shared" si="8"/>
        <v>3164654.3288878184</v>
      </c>
      <c r="AI66">
        <f t="shared" si="9"/>
        <v>1.5942341487176194E-6</v>
      </c>
      <c r="AK66">
        <f t="shared" si="10"/>
        <v>8.4967857927651916E-6</v>
      </c>
      <c r="AL66">
        <f t="shared" si="11"/>
        <v>-3.9891628684976301</v>
      </c>
      <c r="AM66">
        <f t="shared" si="12"/>
        <v>15.096309374933902</v>
      </c>
      <c r="AN66">
        <f t="shared" si="13"/>
        <v>227.89855674371722</v>
      </c>
      <c r="AO66">
        <f t="shared" si="14"/>
        <v>4.387917213203538E-3</v>
      </c>
      <c r="AQ66" s="3">
        <f t="shared" si="45"/>
        <v>180.00000000000057</v>
      </c>
      <c r="AR66" s="3">
        <f t="shared" si="15"/>
        <v>640.00000000000057</v>
      </c>
      <c r="AS66">
        <f t="shared" si="51"/>
        <v>956.01073734109434</v>
      </c>
      <c r="AV66" s="3">
        <f t="shared" si="16"/>
        <v>1.7066666666666681</v>
      </c>
      <c r="AW66" s="3">
        <f t="shared" si="17"/>
        <v>1.4247551972296488</v>
      </c>
      <c r="AX66" s="4">
        <v>0.8</v>
      </c>
      <c r="AY66" s="5">
        <f t="shared" si="18"/>
        <v>0.281750905702152</v>
      </c>
      <c r="AZ66" s="5">
        <f t="shared" si="19"/>
        <v>-0.11539764418727562</v>
      </c>
      <c r="BA66" s="5">
        <f t="shared" si="20"/>
        <v>1.4249361019462507E-2</v>
      </c>
      <c r="BB66" s="5">
        <f t="shared" si="21"/>
        <v>-6.8998269197529237E-5</v>
      </c>
      <c r="BC66" s="5">
        <f t="shared" si="22"/>
        <v>1.0356191081113898E-2</v>
      </c>
      <c r="BD66" s="5">
        <f t="shared" si="23"/>
        <v>0.94437159073704402</v>
      </c>
      <c r="BE66" s="6">
        <f t="shared" si="24"/>
        <v>0.90870080774663275</v>
      </c>
      <c r="BF66" s="7">
        <f t="shared" si="25"/>
        <v>0.10870080774663271</v>
      </c>
      <c r="BG66" s="5">
        <v>0.85</v>
      </c>
      <c r="BH66" s="5">
        <f t="shared" si="26"/>
        <v>0.2651773230137901</v>
      </c>
      <c r="BI66" s="5">
        <f t="shared" si="27"/>
        <v>-0.10860954747037704</v>
      </c>
      <c r="BJ66" s="5">
        <f t="shared" si="28"/>
        <v>1.262227135288028E-2</v>
      </c>
      <c r="BK66" s="5">
        <f t="shared" si="29"/>
        <v>-5.0955785774249361E-5</v>
      </c>
      <c r="BL66" s="5">
        <f t="shared" si="30"/>
        <v>9.116941174697404E-3</v>
      </c>
      <c r="BM66" s="5">
        <f t="shared" si="31"/>
        <v>0.95056378918754025</v>
      </c>
      <c r="BN66" s="8">
        <f t="shared" si="32"/>
        <v>0.91272991381709789</v>
      </c>
      <c r="BO66" s="9">
        <f t="shared" si="33"/>
        <v>6.2729913817097915E-2</v>
      </c>
      <c r="BP66" s="10">
        <f t="shared" si="34"/>
        <v>-0.91941787859069712</v>
      </c>
      <c r="BQ66" s="10">
        <f t="shared" si="35"/>
        <v>0.9182278594726172</v>
      </c>
    </row>
  </sheetData>
  <conditionalFormatting sqref="O1:O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{6ECAD15E-45CF-4258-92AD-28A75E3EA075}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CAD15E-45CF-4258-92AD-28A75E3EA0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O1:O66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CB34-3A26-4273-A54B-7481F88CFE5B}">
  <dimension ref="B4:BQ66"/>
  <sheetViews>
    <sheetView topLeftCell="A10" workbookViewId="0">
      <selection activeCell="H12" sqref="H12"/>
    </sheetView>
  </sheetViews>
  <sheetFormatPr defaultRowHeight="14.4"/>
  <sheetData>
    <row r="4" spans="2:69">
      <c r="F4" s="11" t="s">
        <v>33</v>
      </c>
      <c r="G4" s="11">
        <v>14000</v>
      </c>
      <c r="H4" s="11" t="s">
        <v>78</v>
      </c>
    </row>
    <row r="5" spans="2:69">
      <c r="F5" s="11" t="s">
        <v>35</v>
      </c>
      <c r="G5" s="11">
        <v>3.48</v>
      </c>
      <c r="H5" s="11" t="s">
        <v>36</v>
      </c>
    </row>
    <row r="6" spans="2:69">
      <c r="F6" s="11" t="s">
        <v>1</v>
      </c>
      <c r="G6" s="11">
        <v>500</v>
      </c>
      <c r="H6" s="11" t="s">
        <v>37</v>
      </c>
    </row>
    <row r="7" spans="2:69" ht="16.2">
      <c r="F7" s="11" t="s">
        <v>38</v>
      </c>
      <c r="G7" s="11">
        <v>140</v>
      </c>
      <c r="H7" s="11" t="s">
        <v>39</v>
      </c>
    </row>
    <row r="8" spans="2:69" ht="16.2">
      <c r="F8" s="11" t="s">
        <v>40</v>
      </c>
      <c r="G8" s="11">
        <v>180</v>
      </c>
      <c r="H8" s="11" t="s">
        <v>39</v>
      </c>
    </row>
    <row r="9" spans="2:69" ht="15.6">
      <c r="F9" s="12" t="s">
        <v>59</v>
      </c>
      <c r="G9" s="11">
        <v>0.65</v>
      </c>
      <c r="H9" s="11"/>
    </row>
    <row r="12" spans="2:69">
      <c r="AQ12" s="11" t="s">
        <v>14</v>
      </c>
      <c r="AR12" s="11">
        <v>0.32650000000000001</v>
      </c>
      <c r="AS12" s="11" t="s">
        <v>15</v>
      </c>
      <c r="AT12" s="11">
        <v>-1.07</v>
      </c>
      <c r="AU12" s="11" t="s">
        <v>16</v>
      </c>
      <c r="AV12" s="11">
        <f>-0.5339</f>
        <v>-0.53390000000000004</v>
      </c>
      <c r="AW12" s="11" t="s">
        <v>17</v>
      </c>
      <c r="AX12" s="11">
        <f>0.01569</f>
        <v>1.5689999999999999E-2</v>
      </c>
      <c r="AY12" s="11" t="s">
        <v>18</v>
      </c>
      <c r="AZ12" s="11">
        <f>-0.05165</f>
        <v>-5.1650000000000001E-2</v>
      </c>
      <c r="BA12" s="11" t="s">
        <v>19</v>
      </c>
      <c r="BB12" s="11">
        <v>0.54749999999999999</v>
      </c>
      <c r="BC12" s="11" t="s">
        <v>20</v>
      </c>
      <c r="BD12" s="11">
        <v>-0.73609999999999998</v>
      </c>
    </row>
    <row r="13" spans="2:69">
      <c r="AQ13" s="11" t="s">
        <v>21</v>
      </c>
      <c r="AR13" s="11">
        <f>0.1844</f>
        <v>0.18440000000000001</v>
      </c>
      <c r="AS13" s="11" t="s">
        <v>22</v>
      </c>
      <c r="AT13" s="11">
        <f>0.1056</f>
        <v>0.1056</v>
      </c>
      <c r="AU13" s="11" t="s">
        <v>23</v>
      </c>
      <c r="AV13" s="11">
        <f>0.6134</f>
        <v>0.61339999999999995</v>
      </c>
      <c r="AW13" s="11" t="s">
        <v>24</v>
      </c>
      <c r="AX13" s="11">
        <v>0.72099999999999997</v>
      </c>
    </row>
    <row r="15" spans="2:69" s="15" customFormat="1" ht="31.8">
      <c r="B15" s="13" t="s">
        <v>0</v>
      </c>
      <c r="C15" s="14" t="s">
        <v>44</v>
      </c>
      <c r="D15" s="14" t="s">
        <v>45</v>
      </c>
      <c r="E15" s="14" t="s">
        <v>69</v>
      </c>
      <c r="F15" s="13" t="s">
        <v>1</v>
      </c>
      <c r="G15" s="14" t="s">
        <v>46</v>
      </c>
      <c r="H15" s="13" t="s">
        <v>3</v>
      </c>
      <c r="I15" s="14" t="s">
        <v>47</v>
      </c>
      <c r="J15" s="14" t="s">
        <v>34</v>
      </c>
      <c r="K15" s="13" t="s">
        <v>2</v>
      </c>
      <c r="L15" s="14" t="s">
        <v>48</v>
      </c>
      <c r="M15" s="14" t="s">
        <v>49</v>
      </c>
      <c r="N15" s="14" t="s">
        <v>68</v>
      </c>
      <c r="O15" s="14" t="s">
        <v>50</v>
      </c>
      <c r="Q15" s="16" t="s">
        <v>64</v>
      </c>
      <c r="R15" s="16" t="s">
        <v>65</v>
      </c>
      <c r="S15" s="16" t="s">
        <v>66</v>
      </c>
      <c r="T15" s="16" t="s">
        <v>67</v>
      </c>
      <c r="U15" s="14" t="s">
        <v>34</v>
      </c>
      <c r="V15" s="13" t="s">
        <v>29</v>
      </c>
      <c r="W15" s="13" t="s">
        <v>14</v>
      </c>
      <c r="X15" s="13" t="s">
        <v>15</v>
      </c>
      <c r="Y15" s="13" t="s">
        <v>30</v>
      </c>
      <c r="Z15" s="13" t="s">
        <v>31</v>
      </c>
      <c r="AA15" s="13" t="s">
        <v>32</v>
      </c>
      <c r="AB15" s="14" t="s">
        <v>51</v>
      </c>
      <c r="AC15" s="13" t="s">
        <v>41</v>
      </c>
      <c r="AD15" s="14" t="s">
        <v>52</v>
      </c>
      <c r="AG15" s="13" t="s">
        <v>28</v>
      </c>
      <c r="AH15" s="13" t="s">
        <v>25</v>
      </c>
      <c r="AI15" s="13" t="s">
        <v>26</v>
      </c>
      <c r="AJ15" s="13" t="s">
        <v>42</v>
      </c>
      <c r="AK15" s="13" t="s">
        <v>43</v>
      </c>
      <c r="AL15" s="13" t="s">
        <v>27</v>
      </c>
      <c r="AM15" s="14" t="s">
        <v>53</v>
      </c>
      <c r="AN15" s="14" t="s">
        <v>54</v>
      </c>
      <c r="AO15" s="14" t="s">
        <v>48</v>
      </c>
      <c r="AQ15" s="16" t="s">
        <v>70</v>
      </c>
      <c r="AR15" s="16" t="s">
        <v>71</v>
      </c>
      <c r="AS15" s="17" t="s">
        <v>72</v>
      </c>
      <c r="AT15" s="16" t="s">
        <v>73</v>
      </c>
      <c r="AU15" s="14" t="s">
        <v>55</v>
      </c>
      <c r="AV15" s="14" t="s">
        <v>56</v>
      </c>
      <c r="AW15" s="14" t="s">
        <v>57</v>
      </c>
      <c r="AX15" s="13" t="s">
        <v>3</v>
      </c>
      <c r="AY15" s="14" t="s">
        <v>58</v>
      </c>
      <c r="AZ15" s="13" t="s">
        <v>4</v>
      </c>
      <c r="BA15" s="13" t="s">
        <v>5</v>
      </c>
      <c r="BB15" s="13" t="s">
        <v>6</v>
      </c>
      <c r="BC15" s="13" t="s">
        <v>7</v>
      </c>
      <c r="BD15" s="13" t="s">
        <v>8</v>
      </c>
      <c r="BE15" s="13" t="s">
        <v>9</v>
      </c>
      <c r="BF15" s="13" t="s">
        <v>10</v>
      </c>
      <c r="BG15" s="13" t="s">
        <v>3</v>
      </c>
      <c r="BH15" s="14" t="s">
        <v>58</v>
      </c>
      <c r="BI15" s="13" t="s">
        <v>4</v>
      </c>
      <c r="BJ15" s="13" t="s">
        <v>5</v>
      </c>
      <c r="BK15" s="13" t="s">
        <v>6</v>
      </c>
      <c r="BL15" s="13" t="s">
        <v>7</v>
      </c>
      <c r="BM15" s="13" t="s">
        <v>8</v>
      </c>
      <c r="BN15" s="13" t="s">
        <v>11</v>
      </c>
      <c r="BO15" s="13" t="s">
        <v>12</v>
      </c>
      <c r="BP15" s="13" t="s">
        <v>13</v>
      </c>
      <c r="BQ15" s="13" t="s">
        <v>3</v>
      </c>
    </row>
    <row r="16" spans="2:69">
      <c r="B16">
        <v>0</v>
      </c>
      <c r="C16">
        <f>G7</f>
        <v>140</v>
      </c>
      <c r="D16">
        <f t="shared" ref="D16:D66" si="0">460+C16</f>
        <v>600</v>
      </c>
      <c r="F16">
        <f>G6</f>
        <v>500</v>
      </c>
      <c r="H16">
        <f t="shared" ref="H16:H66" si="1">BQ16</f>
        <v>0.94303052326056158</v>
      </c>
      <c r="J16">
        <f>G9</f>
        <v>0.65</v>
      </c>
      <c r="Q16" s="2">
        <f>(F16*$V$16)/(BQ16*10.73*D16)</f>
        <v>1.5507976490808908</v>
      </c>
      <c r="R16" s="2">
        <f t="shared" ref="R16:R66" si="2">Q16/62.4</f>
        <v>2.4852526427578379E-2</v>
      </c>
      <c r="S16" s="2">
        <v>375</v>
      </c>
      <c r="T16" s="2">
        <v>671</v>
      </c>
      <c r="U16" s="2">
        <f>G9</f>
        <v>0.65</v>
      </c>
      <c r="V16" s="2">
        <f>28.97*G9</f>
        <v>18.830500000000001</v>
      </c>
      <c r="W16" s="2">
        <f t="shared" ref="W16:W66" si="3">(9.379+0.01607*$V$16)*D16^1.5</f>
        <v>142289.96952809498</v>
      </c>
      <c r="X16" s="2">
        <f>209.2+19.26*$V$16+D16</f>
        <v>1171.8754300000001</v>
      </c>
      <c r="Y16" s="2">
        <f t="shared" ref="Y16:Y66" si="4">W16/X16</f>
        <v>121.42072944399472</v>
      </c>
      <c r="Z16" s="2">
        <f>3.448+(986.4/D16)+0.01009*$V$16</f>
        <v>5.2819997449999994</v>
      </c>
      <c r="AA16" s="2">
        <f t="shared" ref="AA16:AA66" si="5">2.447-(0.2224*Z16)</f>
        <v>1.2722832567120004</v>
      </c>
      <c r="AB16" s="2">
        <f t="shared" ref="AB16:AB66" si="6">EXP(Z16*R16^AA16)</f>
        <v>1.0491722728353319</v>
      </c>
      <c r="AC16" s="2">
        <f t="shared" ref="AC16:AC66" si="7">(Y16*10^-4)*AB16</f>
        <v>1.2739126268007984E-2</v>
      </c>
      <c r="AD16" s="2">
        <f t="shared" ref="AD16:AD66" si="8">(20.09*$U$16*$G$4)/($G$5*AC16)</f>
        <v>4123846.0391297792</v>
      </c>
      <c r="AG16">
        <v>5.9999999999999995E-4</v>
      </c>
      <c r="AH16">
        <f>AG16/3.7065</f>
        <v>1.6187778227438283E-4</v>
      </c>
      <c r="AI16">
        <f t="shared" ref="AI16:AI66" si="9">5.0452/AD16</f>
        <v>1.2234210375770107E-6</v>
      </c>
      <c r="AJ16">
        <f>(AG16^1.1098)/2.8257</f>
        <v>9.4029950191445224E-5</v>
      </c>
      <c r="AK16">
        <f t="shared" ref="AK16:AK66" si="10">(7.149/AD16)^0.8981</f>
        <v>6.6987624526446199E-6</v>
      </c>
      <c r="AL16">
        <f t="shared" ref="AL16:AL66" si="11">LOG($AJ$16+AK16)</f>
        <v>-3.9968467164823824</v>
      </c>
      <c r="AM16">
        <f t="shared" ref="AM16:AM66" si="12">-4*LOG($AH$16-AI16*AL16)</f>
        <v>15.111553195099093</v>
      </c>
      <c r="AN16">
        <f t="shared" ref="AN16:AN66" si="13">AM16^2</f>
        <v>228.35903996830962</v>
      </c>
      <c r="AO16">
        <f t="shared" ref="AO16:AO66" si="14">1/AN16</f>
        <v>4.3790690315512557E-3</v>
      </c>
      <c r="AQ16" s="3">
        <f>E16</f>
        <v>0</v>
      </c>
      <c r="AR16" s="3">
        <f t="shared" ref="AR16:AR66" si="15">D16</f>
        <v>600</v>
      </c>
      <c r="AS16" s="3">
        <f>G6</f>
        <v>500</v>
      </c>
      <c r="AT16" s="3">
        <f>S16</f>
        <v>375</v>
      </c>
      <c r="AU16" s="3">
        <f>T16</f>
        <v>671</v>
      </c>
      <c r="AV16" s="3">
        <f t="shared" ref="AV16:AV66" si="16">AR16/$AT$16</f>
        <v>1.6</v>
      </c>
      <c r="AW16" s="3">
        <f t="shared" ref="AW16:AW66" si="17">AS16/$AU$16</f>
        <v>0.7451564828614009</v>
      </c>
      <c r="AX16" s="4">
        <v>0.8</v>
      </c>
      <c r="AY16" s="5">
        <f t="shared" ref="AY16:AY66" si="18">0.27*AW16/AX16/AV16</f>
        <v>0.15718144560357675</v>
      </c>
      <c r="AZ16" s="5">
        <f t="shared" ref="AZ16:AZ66" si="19">($AR$12+$AT$12/AV16+$AV$12/AV16^3+$AX$12/AV16^4+$AZ$12/AV16^5)*AY16</f>
        <v>-7.4681353595679609E-2</v>
      </c>
      <c r="BA16" s="5">
        <f t="shared" ref="BA16:BA66" si="20">($BB$12+$BD$12/AV16+$AR$13/AV16^2)*AY16^2</f>
        <v>3.9398360285899962E-3</v>
      </c>
      <c r="BB16" s="5">
        <f t="shared" ref="BB16:BB66" si="21">$AT$13*($BD$12/AV16+$AR$13/AV16^2)*AY16^5</f>
        <v>-3.9313074953399843E-6</v>
      </c>
      <c r="BC16" s="5">
        <f t="shared" ref="BC16:BC66" si="22">$AV$13*(1+$AX$13*AY16^2)*(AY16^2/AV16^3)</f>
        <v>3.7657751723990979E-3</v>
      </c>
      <c r="BD16" s="5">
        <f t="shared" ref="BD16:BD66" si="23">EXP(-$AX$13*AY16^2)</f>
        <v>0.98234468325804625</v>
      </c>
      <c r="BE16" s="6">
        <f t="shared" ref="BE16:BE66" si="24">1+AZ16+BA16-BB16+BC16*BD16</f>
        <v>0.9329617029593571</v>
      </c>
      <c r="BF16" s="7">
        <f t="shared" ref="BF16:BF66" si="25">BE16-AX16</f>
        <v>0.13296170295935705</v>
      </c>
      <c r="BG16" s="5">
        <v>0.85</v>
      </c>
      <c r="BH16" s="5">
        <f t="shared" ref="BH16:BH66" si="26">0.27*AW16/BG16/AV16</f>
        <v>0.14793547821513106</v>
      </c>
      <c r="BI16" s="5">
        <f t="shared" ref="BI16:BI66" si="27">($AR$12+$AT$12/AV16+$AV$12/AV16^3+$AX$12/AV16^4+$AZ$12/AV16^5)*BH16</f>
        <v>-7.0288332795933758E-2</v>
      </c>
      <c r="BJ16" s="5">
        <f t="shared" ref="BJ16:BJ66" si="28">($BB$12+$BD$12/AV16+$AR$13/AV16^2)*BH16^2</f>
        <v>3.4899585581973673E-3</v>
      </c>
      <c r="BK16" s="5">
        <f t="shared" ref="BK16:BK66" si="29">$AT$13*($BD$12/AV16+$AR$13/AV16^2)*BH16^5</f>
        <v>-2.9033027186777404E-6</v>
      </c>
      <c r="BL16" s="5">
        <f t="shared" ref="BL16:BL66" si="30">$AV$13*(1+$AX$13*BH16^2)*(BH16^2/AV16^3)</f>
        <v>3.3291069004137432E-3</v>
      </c>
      <c r="BM16" s="5">
        <f t="shared" ref="BM16:BM66" si="31">EXP(-$AX$13*BH16^2)</f>
        <v>0.98434481947379804</v>
      </c>
      <c r="BN16" s="8">
        <f t="shared" ref="BN16:BN66" si="32">1+BI16+BJ16-BK16+(BL16*BM16)</f>
        <v>0.93648151819587899</v>
      </c>
      <c r="BO16" s="9">
        <f t="shared" ref="BO16:BO66" si="33">BN16-BG16</f>
        <v>8.6481518195879015E-2</v>
      </c>
      <c r="BP16" s="10">
        <f t="shared" ref="BP16:BP66" si="34">(BO16-BF16)/(BG16-AX16)</f>
        <v>-0.92960369526956199</v>
      </c>
      <c r="BQ16" s="10">
        <f t="shared" ref="BQ16:BQ66" si="35">AX16-BF16/BP16</f>
        <v>0.94303052326056158</v>
      </c>
    </row>
    <row r="17" spans="2:69">
      <c r="B17">
        <f t="shared" ref="B17:B66" si="36">B16+200</f>
        <v>200</v>
      </c>
      <c r="C17">
        <f>(C16+((180-140)/10000)*200)</f>
        <v>140.80000000000001</v>
      </c>
      <c r="D17">
        <f t="shared" si="0"/>
        <v>600.79999999999995</v>
      </c>
      <c r="E17">
        <f t="shared" ref="E17:E66" si="37">AVERAGE(D16:D17)</f>
        <v>600.4</v>
      </c>
      <c r="F17">
        <f>G6</f>
        <v>500</v>
      </c>
      <c r="G17">
        <f t="shared" ref="G17:G66" si="38">AVERAGE(F16:F17)</f>
        <v>500</v>
      </c>
      <c r="H17">
        <f t="shared" si="1"/>
        <v>0.94330241660840397</v>
      </c>
      <c r="I17">
        <f t="shared" ref="I17:I66" si="39">AVERAGE(H16:H17)</f>
        <v>0.94316646993448283</v>
      </c>
      <c r="K17">
        <f t="shared" ref="K17:K66" si="40">(-0.0375*$J$16*SIN(90)*200)/(I17*E17)</f>
        <v>-7.6962910232606556E-3</v>
      </c>
      <c r="L17">
        <f t="shared" ref="L17:L66" si="41">AO16</f>
        <v>4.3790690315512557E-3</v>
      </c>
      <c r="M17">
        <f>(L17*(I17*E17*$G$4)^2)/(SIN(90)*$G$5^5)</f>
        <v>603203451.8583771</v>
      </c>
      <c r="N17">
        <f>EXP(-K17)*(G17)^2-2.685*10^-3*M17*(1-EXP(-K17))</f>
        <v>264444.50873016514</v>
      </c>
      <c r="O17">
        <f>SQRT(N17)</f>
        <v>514.24168319007856</v>
      </c>
      <c r="Q17" s="2">
        <f t="shared" ref="Q17:Q66" si="42">(F17*$V$16)/(BQ17*10.73*D17)</f>
        <v>1.5482862722775319</v>
      </c>
      <c r="R17" s="2">
        <f t="shared" si="2"/>
        <v>2.4812280004447629E-2</v>
      </c>
      <c r="W17" s="2">
        <f t="shared" si="3"/>
        <v>142574.64430606135</v>
      </c>
      <c r="X17" s="2">
        <f t="shared" ref="X17:X66" si="43">209.2+19.26*$V$16+D17</f>
        <v>1172.67543</v>
      </c>
      <c r="Y17" s="2">
        <f t="shared" si="4"/>
        <v>121.58065280353094</v>
      </c>
      <c r="Z17" s="2">
        <f t="shared" ref="Z17:Z66" si="44">3.448+(986.4/D17)+0.01009*$V$16</f>
        <v>5.2798106637749669</v>
      </c>
      <c r="AA17" s="2">
        <f t="shared" si="5"/>
        <v>1.2727701083764476</v>
      </c>
      <c r="AB17" s="2">
        <f t="shared" si="6"/>
        <v>1.048957399540047</v>
      </c>
      <c r="AC17" s="2">
        <f t="shared" si="7"/>
        <v>1.2753292539917313E-2</v>
      </c>
      <c r="AD17" s="2">
        <f t="shared" si="8"/>
        <v>4119265.2985782968</v>
      </c>
      <c r="AI17">
        <f t="shared" si="9"/>
        <v>1.2247815166799953E-6</v>
      </c>
      <c r="AK17">
        <f t="shared" si="10"/>
        <v>6.7054522137332465E-6</v>
      </c>
      <c r="AL17">
        <f t="shared" si="11"/>
        <v>-3.9968178743600382</v>
      </c>
      <c r="AM17">
        <f t="shared" si="12"/>
        <v>15.111496921543523</v>
      </c>
      <c r="AN17">
        <f t="shared" si="13"/>
        <v>228.35733920981937</v>
      </c>
      <c r="AO17">
        <f t="shared" si="14"/>
        <v>4.3791016459566456E-3</v>
      </c>
      <c r="AQ17" s="3">
        <f t="shared" ref="AQ17:AQ66" si="45">C17</f>
        <v>140.80000000000001</v>
      </c>
      <c r="AR17" s="3">
        <f t="shared" si="15"/>
        <v>600.79999999999995</v>
      </c>
      <c r="AS17">
        <f>AS16</f>
        <v>500</v>
      </c>
      <c r="AV17" s="3">
        <f t="shared" si="16"/>
        <v>1.6021333333333332</v>
      </c>
      <c r="AW17" s="3">
        <f t="shared" si="17"/>
        <v>0.7451564828614009</v>
      </c>
      <c r="AX17" s="4">
        <v>0.8</v>
      </c>
      <c r="AY17" s="5">
        <f t="shared" si="18"/>
        <v>0.15697214940437096</v>
      </c>
      <c r="AZ17" s="5">
        <f t="shared" si="19"/>
        <v>-7.4357368677307467E-2</v>
      </c>
      <c r="BA17" s="5">
        <f t="shared" si="20"/>
        <v>3.939721858417438E-3</v>
      </c>
      <c r="BB17" s="5">
        <f t="shared" si="21"/>
        <v>-3.9009672889023649E-6</v>
      </c>
      <c r="BC17" s="5">
        <f t="shared" si="22"/>
        <v>3.7405958801686513E-3</v>
      </c>
      <c r="BD17" s="5">
        <f t="shared" si="23"/>
        <v>0.98239125396530558</v>
      </c>
      <c r="BE17" s="6">
        <f t="shared" si="24"/>
        <v>0.93326098282569514</v>
      </c>
      <c r="BF17" s="7">
        <f t="shared" si="25"/>
        <v>0.1332609828256951</v>
      </c>
      <c r="BG17" s="5">
        <v>0.85</v>
      </c>
      <c r="BH17" s="5">
        <f t="shared" si="26"/>
        <v>0.14773849355705501</v>
      </c>
      <c r="BI17" s="5">
        <f t="shared" si="27"/>
        <v>-6.9983405813936431E-2</v>
      </c>
      <c r="BJ17" s="5">
        <f t="shared" si="28"/>
        <v>3.4898574247573151E-3</v>
      </c>
      <c r="BK17" s="5">
        <f t="shared" si="29"/>
        <v>-2.8808962282314955E-6</v>
      </c>
      <c r="BL17" s="5">
        <f t="shared" si="30"/>
        <v>3.3068646402216692E-3</v>
      </c>
      <c r="BM17" s="5">
        <f t="shared" si="31"/>
        <v>0.98438615630121107</v>
      </c>
      <c r="BN17" s="8">
        <f t="shared" si="32"/>
        <v>0.93676456427964527</v>
      </c>
      <c r="BO17" s="9">
        <f t="shared" si="33"/>
        <v>8.6764564279645295E-2</v>
      </c>
      <c r="BP17" s="10">
        <f t="shared" si="34"/>
        <v>-0.92992837092099723</v>
      </c>
      <c r="BQ17" s="10">
        <f t="shared" si="35"/>
        <v>0.94330241660840397</v>
      </c>
    </row>
    <row r="18" spans="2:69">
      <c r="B18">
        <f t="shared" si="36"/>
        <v>400</v>
      </c>
      <c r="C18">
        <f t="shared" ref="C18:C66" si="46">(C17+((180-140)/10000)*200)</f>
        <v>141.60000000000002</v>
      </c>
      <c r="D18">
        <f t="shared" si="0"/>
        <v>601.6</v>
      </c>
      <c r="E18">
        <f t="shared" si="37"/>
        <v>601.20000000000005</v>
      </c>
      <c r="F18">
        <f t="shared" ref="F18:F66" si="47">O17</f>
        <v>514.24168319007856</v>
      </c>
      <c r="G18">
        <f t="shared" si="38"/>
        <v>507.12084159503928</v>
      </c>
      <c r="H18">
        <f t="shared" si="1"/>
        <v>0.94200325844136057</v>
      </c>
      <c r="I18">
        <f t="shared" si="39"/>
        <v>0.94265283752488227</v>
      </c>
      <c r="K18">
        <f t="shared" si="40"/>
        <v>-7.6902377569912569E-3</v>
      </c>
      <c r="L18">
        <f t="shared" si="41"/>
        <v>4.3791016459566456E-3</v>
      </c>
      <c r="M18">
        <f t="shared" ref="M18:M66" si="48">(L18*(I18*E18*$G$4)^2)/(SIN(90)*$G$5^5)</f>
        <v>604157932.02340627</v>
      </c>
      <c r="N18">
        <f t="shared" ref="N18:N66" si="49">EXP(-K18)*(O17)^2-2.685*10^-3*M18*(1-EXP(-K18))</f>
        <v>279008.90714728052</v>
      </c>
      <c r="O18">
        <f t="shared" ref="O18:O66" si="50">SQRT(+N18)</f>
        <v>528.21293731532216</v>
      </c>
      <c r="Q18" s="2">
        <f t="shared" si="42"/>
        <v>1.5924623521449008</v>
      </c>
      <c r="R18" s="2">
        <f t="shared" si="2"/>
        <v>2.552023000232213E-2</v>
      </c>
      <c r="W18" s="2">
        <f t="shared" si="3"/>
        <v>142859.50867765487</v>
      </c>
      <c r="X18" s="2">
        <f t="shared" si="43"/>
        <v>1173.47543</v>
      </c>
      <c r="Y18" s="2">
        <f t="shared" si="4"/>
        <v>121.74051967807701</v>
      </c>
      <c r="Z18" s="2">
        <f t="shared" si="44"/>
        <v>5.2776274045744671</v>
      </c>
      <c r="AA18" s="2">
        <f t="shared" si="5"/>
        <v>1.2732556652226386</v>
      </c>
      <c r="AB18" s="2">
        <f t="shared" si="6"/>
        <v>1.0506726270288897</v>
      </c>
      <c r="AC18" s="2">
        <f t="shared" si="7"/>
        <v>1.2790943162602743E-2</v>
      </c>
      <c r="AD18" s="2">
        <f t="shared" si="8"/>
        <v>4107140.0861114468</v>
      </c>
      <c r="AI18">
        <f t="shared" si="9"/>
        <v>1.228397350521513E-6</v>
      </c>
      <c r="AK18">
        <f t="shared" si="10"/>
        <v>6.7232283491741513E-6</v>
      </c>
      <c r="AL18">
        <f t="shared" si="11"/>
        <v>-3.996741243937457</v>
      </c>
      <c r="AM18">
        <f t="shared" si="12"/>
        <v>15.111347372164294</v>
      </c>
      <c r="AN18">
        <f t="shared" si="13"/>
        <v>228.35281940221674</v>
      </c>
      <c r="AO18">
        <f t="shared" si="14"/>
        <v>4.3791883219038222E-3</v>
      </c>
      <c r="AQ18" s="3">
        <f t="shared" si="45"/>
        <v>141.60000000000002</v>
      </c>
      <c r="AR18" s="3">
        <f t="shared" si="15"/>
        <v>601.6</v>
      </c>
      <c r="AS18">
        <f t="shared" ref="AS18:AS66" si="51">F18</f>
        <v>514.24168319007856</v>
      </c>
      <c r="AV18" s="3">
        <f t="shared" si="16"/>
        <v>1.6042666666666667</v>
      </c>
      <c r="AW18" s="3">
        <f t="shared" si="17"/>
        <v>0.76638104797329143</v>
      </c>
      <c r="AX18" s="4">
        <v>0.8</v>
      </c>
      <c r="AY18" s="5">
        <f t="shared" si="18"/>
        <v>0.16122855948158196</v>
      </c>
      <c r="AZ18" s="5">
        <f t="shared" si="19"/>
        <v>-7.6143845500483587E-2</v>
      </c>
      <c r="BA18" s="5">
        <f t="shared" si="20"/>
        <v>4.1671938963507406E-3</v>
      </c>
      <c r="BB18" s="5">
        <f t="shared" si="21"/>
        <v>-4.4544929136698967E-6</v>
      </c>
      <c r="BC18" s="5">
        <f t="shared" si="22"/>
        <v>3.9342532404492443E-3</v>
      </c>
      <c r="BD18" s="5">
        <f t="shared" si="23"/>
        <v>0.9814324003128263</v>
      </c>
      <c r="BE18" s="6">
        <f t="shared" si="24"/>
        <v>0.93188900648999351</v>
      </c>
      <c r="BF18" s="7">
        <f t="shared" si="25"/>
        <v>0.13188900648999347</v>
      </c>
      <c r="BG18" s="5">
        <v>0.85</v>
      </c>
      <c r="BH18" s="5">
        <f t="shared" si="26"/>
        <v>0.15174452657090065</v>
      </c>
      <c r="BI18" s="5">
        <f t="shared" si="27"/>
        <v>-7.1664795765161021E-2</v>
      </c>
      <c r="BJ18" s="5">
        <f t="shared" si="28"/>
        <v>3.6913551469404471E-3</v>
      </c>
      <c r="BK18" s="5">
        <f t="shared" si="29"/>
        <v>-3.2896794264805003E-6</v>
      </c>
      <c r="BL18" s="5">
        <f t="shared" si="30"/>
        <v>3.4776921656801845E-3</v>
      </c>
      <c r="BM18" s="5">
        <f t="shared" si="31"/>
        <v>0.9835350189118367</v>
      </c>
      <c r="BN18" s="8">
        <f t="shared" si="32"/>
        <v>0.9354502810911477</v>
      </c>
      <c r="BO18" s="9">
        <f t="shared" si="33"/>
        <v>8.5450281091147717E-2</v>
      </c>
      <c r="BP18" s="10">
        <f t="shared" si="34"/>
        <v>-0.92877450797691619</v>
      </c>
      <c r="BQ18" s="10">
        <f t="shared" si="35"/>
        <v>0.94200325844136057</v>
      </c>
    </row>
    <row r="19" spans="2:69">
      <c r="B19">
        <f t="shared" si="36"/>
        <v>600</v>
      </c>
      <c r="C19">
        <f t="shared" si="46"/>
        <v>142.40000000000003</v>
      </c>
      <c r="D19">
        <f t="shared" si="0"/>
        <v>602.40000000000009</v>
      </c>
      <c r="E19">
        <f t="shared" si="37"/>
        <v>602</v>
      </c>
      <c r="F19">
        <f t="shared" si="47"/>
        <v>528.21293731532216</v>
      </c>
      <c r="G19">
        <f t="shared" si="38"/>
        <v>521.22731025270036</v>
      </c>
      <c r="H19">
        <f t="shared" si="1"/>
        <v>0.94075236983170962</v>
      </c>
      <c r="I19">
        <f t="shared" si="39"/>
        <v>0.9413778141365351</v>
      </c>
      <c r="K19">
        <f t="shared" si="40"/>
        <v>-7.6904201621268205E-3</v>
      </c>
      <c r="L19">
        <f t="shared" si="41"/>
        <v>4.3791883219038222E-3</v>
      </c>
      <c r="M19">
        <f t="shared" si="48"/>
        <v>604141230.5226661</v>
      </c>
      <c r="N19">
        <f t="shared" si="49"/>
        <v>293685.74429040757</v>
      </c>
      <c r="O19">
        <f t="shared" si="50"/>
        <v>541.9278035775684</v>
      </c>
      <c r="Q19" s="2">
        <f t="shared" si="42"/>
        <v>1.6357272157861333</v>
      </c>
      <c r="R19" s="2">
        <f t="shared" si="2"/>
        <v>2.6213577176059828E-2</v>
      </c>
      <c r="W19" s="2">
        <f t="shared" si="3"/>
        <v>143144.562516773</v>
      </c>
      <c r="X19" s="2">
        <f t="shared" si="43"/>
        <v>1174.2754300000001</v>
      </c>
      <c r="Y19" s="2">
        <f t="shared" si="4"/>
        <v>121.90033007569015</v>
      </c>
      <c r="Z19" s="2">
        <f t="shared" si="44"/>
        <v>5.2754499442031868</v>
      </c>
      <c r="AA19" s="2">
        <f t="shared" si="5"/>
        <v>1.2737399324092114</v>
      </c>
      <c r="AB19" s="2">
        <f t="shared" si="6"/>
        <v>1.0523603647092301</v>
      </c>
      <c r="AC19" s="2">
        <f t="shared" si="7"/>
        <v>1.2828307581662883E-2</v>
      </c>
      <c r="AD19" s="2">
        <f t="shared" si="8"/>
        <v>4095177.4088573148</v>
      </c>
      <c r="AI19">
        <f t="shared" si="9"/>
        <v>1.2319856983699694E-6</v>
      </c>
      <c r="AK19">
        <f t="shared" si="10"/>
        <v>6.7408640876722468E-6</v>
      </c>
      <c r="AL19">
        <f t="shared" si="11"/>
        <v>-3.9966652321055518</v>
      </c>
      <c r="AM19">
        <f t="shared" si="12"/>
        <v>15.11119897756396</v>
      </c>
      <c r="AN19">
        <f t="shared" si="13"/>
        <v>228.34833453953007</v>
      </c>
      <c r="AO19">
        <f t="shared" si="14"/>
        <v>4.3792743311070088E-3</v>
      </c>
      <c r="AQ19" s="3">
        <f t="shared" si="45"/>
        <v>142.40000000000003</v>
      </c>
      <c r="AR19" s="3">
        <f t="shared" si="15"/>
        <v>602.40000000000009</v>
      </c>
      <c r="AS19">
        <f t="shared" si="51"/>
        <v>528.21293731532216</v>
      </c>
      <c r="AV19" s="3">
        <f t="shared" si="16"/>
        <v>1.6064000000000003</v>
      </c>
      <c r="AW19" s="3">
        <f t="shared" si="17"/>
        <v>0.78720258914355012</v>
      </c>
      <c r="AX19" s="4">
        <v>0.8</v>
      </c>
      <c r="AY19" s="5">
        <f t="shared" si="18"/>
        <v>0.16538899018672071</v>
      </c>
      <c r="AZ19" s="5">
        <f t="shared" si="19"/>
        <v>-7.7873871338372105E-2</v>
      </c>
      <c r="BA19" s="5">
        <f t="shared" si="20"/>
        <v>4.3964997082082567E-3</v>
      </c>
      <c r="BB19" s="5">
        <f t="shared" si="21"/>
        <v>-5.0541829607313806E-6</v>
      </c>
      <c r="BC19" s="5">
        <f t="shared" si="22"/>
        <v>4.1274100479666547E-3</v>
      </c>
      <c r="BD19" s="5">
        <f t="shared" si="23"/>
        <v>0.98047131767033335</v>
      </c>
      <c r="BE19" s="6">
        <f t="shared" si="24"/>
        <v>0.93057448972109247</v>
      </c>
      <c r="BF19" s="7">
        <f t="shared" si="25"/>
        <v>0.13057448972109242</v>
      </c>
      <c r="BG19" s="5">
        <v>0.85</v>
      </c>
      <c r="BH19" s="5">
        <f t="shared" si="26"/>
        <v>0.15566022605809007</v>
      </c>
      <c r="BI19" s="5">
        <f t="shared" si="27"/>
        <v>-7.3293055377291388E-2</v>
      </c>
      <c r="BJ19" s="5">
        <f t="shared" si="28"/>
        <v>3.8944772501775557E-3</v>
      </c>
      <c r="BK19" s="5">
        <f t="shared" si="29"/>
        <v>-3.7325554279282116E-6</v>
      </c>
      <c r="BL19" s="5">
        <f t="shared" si="30"/>
        <v>3.6480398342462542E-3</v>
      </c>
      <c r="BM19" s="5">
        <f t="shared" si="31"/>
        <v>0.98268180764448565</v>
      </c>
      <c r="BN19" s="8">
        <f t="shared" si="32"/>
        <v>0.93419001680699032</v>
      </c>
      <c r="BO19" s="9">
        <f t="shared" si="33"/>
        <v>8.4190016806990342E-2</v>
      </c>
      <c r="BP19" s="10">
        <f t="shared" si="34"/>
        <v>-0.92768945828204286</v>
      </c>
      <c r="BQ19" s="10">
        <f t="shared" si="35"/>
        <v>0.94075236983170962</v>
      </c>
    </row>
    <row r="20" spans="2:69">
      <c r="B20">
        <f t="shared" si="36"/>
        <v>800</v>
      </c>
      <c r="C20">
        <f t="shared" si="46"/>
        <v>143.20000000000005</v>
      </c>
      <c r="D20">
        <f t="shared" si="0"/>
        <v>603.20000000000005</v>
      </c>
      <c r="E20">
        <f t="shared" si="37"/>
        <v>602.80000000000007</v>
      </c>
      <c r="F20">
        <f t="shared" si="47"/>
        <v>541.9278035775684</v>
      </c>
      <c r="G20">
        <f t="shared" si="38"/>
        <v>535.07037044644528</v>
      </c>
      <c r="H20">
        <f t="shared" si="1"/>
        <v>0.93954758299785879</v>
      </c>
      <c r="I20">
        <f t="shared" si="39"/>
        <v>0.94014997641478426</v>
      </c>
      <c r="K20">
        <f t="shared" si="40"/>
        <v>-7.6902442722950933E-3</v>
      </c>
      <c r="L20">
        <f t="shared" si="41"/>
        <v>4.3792743311070088E-3</v>
      </c>
      <c r="M20">
        <f t="shared" si="48"/>
        <v>604180732.59445918</v>
      </c>
      <c r="N20">
        <f t="shared" si="49"/>
        <v>308476.3668285936</v>
      </c>
      <c r="O20">
        <f t="shared" si="50"/>
        <v>555.40648792446927</v>
      </c>
      <c r="Q20" s="2">
        <f t="shared" si="42"/>
        <v>1.6781216886160184</v>
      </c>
      <c r="R20" s="2">
        <f t="shared" si="2"/>
        <v>2.6892975779102858E-2</v>
      </c>
      <c r="W20" s="2">
        <f t="shared" si="3"/>
        <v>143429.80569756631</v>
      </c>
      <c r="X20" s="2">
        <f t="shared" si="43"/>
        <v>1175.0754300000001</v>
      </c>
      <c r="Y20" s="2">
        <f t="shared" si="4"/>
        <v>122.06008400462113</v>
      </c>
      <c r="Z20" s="2">
        <f t="shared" si="44"/>
        <v>5.2732782595888592</v>
      </c>
      <c r="AA20" s="2">
        <f t="shared" si="5"/>
        <v>1.2742229150674378</v>
      </c>
      <c r="AB20" s="2">
        <f t="shared" si="6"/>
        <v>1.0540213372635669</v>
      </c>
      <c r="AC20" s="2">
        <f t="shared" si="7"/>
        <v>1.2865393296905409E-2</v>
      </c>
      <c r="AD20" s="2">
        <f t="shared" si="8"/>
        <v>4083372.6719365213</v>
      </c>
      <c r="AI20">
        <f t="shared" si="9"/>
        <v>1.2355472804806074E-6</v>
      </c>
      <c r="AK20">
        <f t="shared" si="10"/>
        <v>6.758363104822942E-6</v>
      </c>
      <c r="AL20">
        <f t="shared" si="11"/>
        <v>-3.9965898227038759</v>
      </c>
      <c r="AM20">
        <f t="shared" si="12"/>
        <v>15.111051707544364</v>
      </c>
      <c r="AN20">
        <f t="shared" si="13"/>
        <v>228.34388370807943</v>
      </c>
      <c r="AO20">
        <f t="shared" si="14"/>
        <v>4.3793596910107089E-3</v>
      </c>
      <c r="AQ20" s="3">
        <f t="shared" si="45"/>
        <v>143.20000000000005</v>
      </c>
      <c r="AR20" s="3">
        <f t="shared" si="15"/>
        <v>603.20000000000005</v>
      </c>
      <c r="AS20">
        <f t="shared" si="51"/>
        <v>541.9278035775684</v>
      </c>
      <c r="AV20" s="3">
        <f t="shared" si="16"/>
        <v>1.6085333333333334</v>
      </c>
      <c r="AW20" s="3">
        <f t="shared" si="17"/>
        <v>0.80764203215732999</v>
      </c>
      <c r="AX20" s="4">
        <v>0.8</v>
      </c>
      <c r="AY20" s="5">
        <f t="shared" si="18"/>
        <v>0.16945821401676406</v>
      </c>
      <c r="AZ20" s="5">
        <f t="shared" si="19"/>
        <v>-7.9550156320926824E-2</v>
      </c>
      <c r="BA20" s="5">
        <f t="shared" si="20"/>
        <v>4.6275160340587358E-3</v>
      </c>
      <c r="BB20" s="5">
        <f t="shared" si="21"/>
        <v>-5.7011325809415885E-6</v>
      </c>
      <c r="BC20" s="5">
        <f t="shared" si="22"/>
        <v>4.3199504916450245E-3</v>
      </c>
      <c r="BD20" s="5">
        <f t="shared" si="23"/>
        <v>0.97950856417507703</v>
      </c>
      <c r="BE20" s="6">
        <f t="shared" si="24"/>
        <v>0.92931448934909144</v>
      </c>
      <c r="BF20" s="7">
        <f t="shared" si="25"/>
        <v>0.1293144893490914</v>
      </c>
      <c r="BG20" s="5">
        <v>0.85</v>
      </c>
      <c r="BH20" s="5">
        <f t="shared" si="26"/>
        <v>0.15949008378048385</v>
      </c>
      <c r="BI20" s="5">
        <f t="shared" si="27"/>
        <v>-7.4870735360872312E-2</v>
      </c>
      <c r="BJ20" s="5">
        <f t="shared" si="28"/>
        <v>4.0991145492008186E-3</v>
      </c>
      <c r="BK20" s="5">
        <f t="shared" si="29"/>
        <v>-4.2103330104323267E-6</v>
      </c>
      <c r="BL20" s="5">
        <f t="shared" si="30"/>
        <v>3.8178056045349929E-3</v>
      </c>
      <c r="BM20" s="5">
        <f t="shared" si="31"/>
        <v>0.98182701730639355</v>
      </c>
      <c r="BN20" s="8">
        <f t="shared" si="32"/>
        <v>0.93298101421069524</v>
      </c>
      <c r="BO20" s="9">
        <f t="shared" si="33"/>
        <v>8.2981014210695259E-2</v>
      </c>
      <c r="BP20" s="10">
        <f t="shared" si="34"/>
        <v>-0.92666950276792404</v>
      </c>
      <c r="BQ20" s="10">
        <f t="shared" si="35"/>
        <v>0.93954758299785879</v>
      </c>
    </row>
    <row r="21" spans="2:69">
      <c r="B21">
        <f t="shared" si="36"/>
        <v>1000</v>
      </c>
      <c r="C21">
        <f t="shared" si="46"/>
        <v>144.00000000000006</v>
      </c>
      <c r="D21">
        <f t="shared" si="0"/>
        <v>604</v>
      </c>
      <c r="E21">
        <f t="shared" si="37"/>
        <v>603.6</v>
      </c>
      <c r="F21">
        <f t="shared" si="47"/>
        <v>555.40648792446927</v>
      </c>
      <c r="G21">
        <f t="shared" si="38"/>
        <v>548.66714575101878</v>
      </c>
      <c r="H21">
        <f t="shared" si="1"/>
        <v>0.93838610218522356</v>
      </c>
      <c r="I21">
        <f t="shared" si="39"/>
        <v>0.93896684259154117</v>
      </c>
      <c r="K21">
        <f t="shared" si="40"/>
        <v>-7.6897289247119241E-3</v>
      </c>
      <c r="L21">
        <f t="shared" si="41"/>
        <v>4.3793596910107089E-3</v>
      </c>
      <c r="M21">
        <f t="shared" si="48"/>
        <v>604273495.00078738</v>
      </c>
      <c r="N21">
        <f t="shared" si="49"/>
        <v>323382.09132566169</v>
      </c>
      <c r="O21">
        <f t="shared" si="50"/>
        <v>568.66694235348484</v>
      </c>
      <c r="Q21" s="2">
        <f t="shared" si="42"/>
        <v>1.7197074502953227</v>
      </c>
      <c r="R21" s="2">
        <f t="shared" si="2"/>
        <v>2.7559414267553248E-2</v>
      </c>
      <c r="W21" s="2">
        <f t="shared" si="3"/>
        <v>143715.23809443437</v>
      </c>
      <c r="X21" s="2">
        <f t="shared" si="43"/>
        <v>1175.8754300000001</v>
      </c>
      <c r="Y21" s="2">
        <f t="shared" si="4"/>
        <v>122.21978147330995</v>
      </c>
      <c r="Z21" s="2">
        <f t="shared" si="44"/>
        <v>5.2711123277814567</v>
      </c>
      <c r="AA21" s="2">
        <f t="shared" si="5"/>
        <v>1.2747046183014041</v>
      </c>
      <c r="AB21" s="2">
        <f t="shared" si="6"/>
        <v>1.055657253161242</v>
      </c>
      <c r="AC21" s="2">
        <f t="shared" si="7"/>
        <v>1.2902219879208166E-2</v>
      </c>
      <c r="AD21" s="2">
        <f t="shared" si="8"/>
        <v>4071717.5721797552</v>
      </c>
      <c r="AI21">
        <f t="shared" si="9"/>
        <v>1.2390839763719419E-6</v>
      </c>
      <c r="AK21">
        <f t="shared" si="10"/>
        <v>6.7757347635926844E-6</v>
      </c>
      <c r="AL21">
        <f t="shared" si="11"/>
        <v>-3.9965149750831204</v>
      </c>
      <c r="AM21">
        <f t="shared" si="12"/>
        <v>15.110905483998421</v>
      </c>
      <c r="AN21">
        <f t="shared" si="13"/>
        <v>228.33946454633355</v>
      </c>
      <c r="AO21">
        <f t="shared" si="14"/>
        <v>4.3794444468318568E-3</v>
      </c>
      <c r="AQ21" s="3">
        <f t="shared" si="45"/>
        <v>144.00000000000006</v>
      </c>
      <c r="AR21" s="3">
        <f t="shared" si="15"/>
        <v>604</v>
      </c>
      <c r="AS21">
        <f t="shared" si="51"/>
        <v>555.40648792446927</v>
      </c>
      <c r="AV21" s="3">
        <f t="shared" si="16"/>
        <v>1.6106666666666667</v>
      </c>
      <c r="AW21" s="3">
        <f t="shared" si="17"/>
        <v>0.82772949020040132</v>
      </c>
      <c r="AX21" s="4">
        <v>0.8</v>
      </c>
      <c r="AY21" s="5">
        <f t="shared" si="18"/>
        <v>0.17344290331703358</v>
      </c>
      <c r="AZ21" s="5">
        <f t="shared" si="19"/>
        <v>-8.1176269389485176E-2</v>
      </c>
      <c r="BA21" s="5">
        <f t="shared" si="20"/>
        <v>4.860258233268756E-3</v>
      </c>
      <c r="BB21" s="5">
        <f t="shared" si="21"/>
        <v>-6.3967765522341792E-6</v>
      </c>
      <c r="BC21" s="5">
        <f t="shared" si="22"/>
        <v>4.5118923885643161E-3</v>
      </c>
      <c r="BD21" s="5">
        <f t="shared" si="23"/>
        <v>0.97854408475994259</v>
      </c>
      <c r="BE21" s="6">
        <f t="shared" si="24"/>
        <v>0.92810547122823883</v>
      </c>
      <c r="BF21" s="7">
        <f t="shared" si="25"/>
        <v>0.12810547122823879</v>
      </c>
      <c r="BG21" s="5">
        <v>0.85</v>
      </c>
      <c r="BH21" s="5">
        <f t="shared" si="26"/>
        <v>0.1632403795925022</v>
      </c>
      <c r="BI21" s="5">
        <f t="shared" si="27"/>
        <v>-7.6401194719515467E-2</v>
      </c>
      <c r="BJ21" s="5">
        <f t="shared" si="28"/>
        <v>4.3052806495391064E-3</v>
      </c>
      <c r="BK21" s="5">
        <f t="shared" si="29"/>
        <v>-4.7240717692243026E-6</v>
      </c>
      <c r="BL21" s="5">
        <f t="shared" si="30"/>
        <v>3.9870053303943066E-3</v>
      </c>
      <c r="BM21" s="5">
        <f t="shared" si="31"/>
        <v>0.98097059839322287</v>
      </c>
      <c r="BN21" s="8">
        <f t="shared" si="32"/>
        <v>0.93181994500654663</v>
      </c>
      <c r="BO21" s="9">
        <f t="shared" si="33"/>
        <v>8.1819945006546657E-2</v>
      </c>
      <c r="BP21" s="10">
        <f t="shared" si="34"/>
        <v>-0.92571052443384383</v>
      </c>
      <c r="BQ21" s="10">
        <f t="shared" si="35"/>
        <v>0.93838610218522356</v>
      </c>
    </row>
    <row r="22" spans="2:69">
      <c r="B22">
        <f t="shared" si="36"/>
        <v>1200</v>
      </c>
      <c r="C22">
        <f t="shared" si="46"/>
        <v>144.80000000000007</v>
      </c>
      <c r="D22">
        <f t="shared" si="0"/>
        <v>604.80000000000007</v>
      </c>
      <c r="E22">
        <f t="shared" si="37"/>
        <v>604.40000000000009</v>
      </c>
      <c r="F22">
        <f t="shared" si="47"/>
        <v>568.66694235348484</v>
      </c>
      <c r="G22">
        <f t="shared" si="38"/>
        <v>562.03671513897712</v>
      </c>
      <c r="H22">
        <f t="shared" si="1"/>
        <v>0.93726542976707328</v>
      </c>
      <c r="I22">
        <f t="shared" si="39"/>
        <v>0.93782576597614842</v>
      </c>
      <c r="K22">
        <f t="shared" si="40"/>
        <v>-7.6888944996892569E-3</v>
      </c>
      <c r="L22">
        <f t="shared" si="41"/>
        <v>4.3794444468318568E-3</v>
      </c>
      <c r="M22">
        <f t="shared" si="48"/>
        <v>604416355.08312953</v>
      </c>
      <c r="N22">
        <f t="shared" si="49"/>
        <v>338404.20310162584</v>
      </c>
      <c r="O22">
        <f t="shared" si="50"/>
        <v>581.72519551900609</v>
      </c>
      <c r="Q22" s="2">
        <f t="shared" si="42"/>
        <v>1.7605393290229585</v>
      </c>
      <c r="R22" s="2">
        <f t="shared" si="2"/>
        <v>2.8213771298444847E-2</v>
      </c>
      <c r="W22" s="2">
        <f t="shared" si="3"/>
        <v>144000.85958202751</v>
      </c>
      <c r="X22" s="2">
        <f t="shared" si="43"/>
        <v>1176.6754300000002</v>
      </c>
      <c r="Y22" s="2">
        <f t="shared" si="4"/>
        <v>122.37942249038673</v>
      </c>
      <c r="Z22" s="2">
        <f t="shared" si="44"/>
        <v>5.2689521259523806</v>
      </c>
      <c r="AA22" s="2">
        <f t="shared" si="5"/>
        <v>1.2751850471881907</v>
      </c>
      <c r="AB22" s="2">
        <f t="shared" si="6"/>
        <v>1.0572696423409014</v>
      </c>
      <c r="AC22" s="2">
        <f t="shared" si="7"/>
        <v>1.2938804824629724E-2</v>
      </c>
      <c r="AD22" s="2">
        <f t="shared" si="8"/>
        <v>4060204.6413357384</v>
      </c>
      <c r="AI22">
        <f t="shared" si="9"/>
        <v>1.2425974663041161E-6</v>
      </c>
      <c r="AK22">
        <f t="shared" si="10"/>
        <v>6.7929874363062513E-6</v>
      </c>
      <c r="AL22">
        <f t="shared" si="11"/>
        <v>-3.9964406528913612</v>
      </c>
      <c r="AM22">
        <f t="shared" si="12"/>
        <v>15.11076023709578</v>
      </c>
      <c r="AN22">
        <f t="shared" si="13"/>
        <v>228.33507494299494</v>
      </c>
      <c r="AO22">
        <f t="shared" si="14"/>
        <v>4.3795286389953685E-3</v>
      </c>
      <c r="AQ22" s="3">
        <f t="shared" si="45"/>
        <v>144.80000000000007</v>
      </c>
      <c r="AR22" s="3">
        <f t="shared" si="15"/>
        <v>604.80000000000007</v>
      </c>
      <c r="AS22">
        <f t="shared" si="51"/>
        <v>568.66694235348484</v>
      </c>
      <c r="AV22" s="3">
        <f t="shared" si="16"/>
        <v>1.6128000000000002</v>
      </c>
      <c r="AW22" s="3">
        <f t="shared" si="17"/>
        <v>0.84749171736733953</v>
      </c>
      <c r="AX22" s="4">
        <v>0.8</v>
      </c>
      <c r="AY22" s="5">
        <f t="shared" si="18"/>
        <v>0.17734899219461622</v>
      </c>
      <c r="AZ22" s="5">
        <f t="shared" si="19"/>
        <v>-8.2755394241333505E-2</v>
      </c>
      <c r="BA22" s="5">
        <f t="shared" si="20"/>
        <v>5.0947411681822484E-3</v>
      </c>
      <c r="BB22" s="5">
        <f t="shared" si="21"/>
        <v>-7.1425465173376789E-6</v>
      </c>
      <c r="BC22" s="5">
        <f t="shared" si="22"/>
        <v>4.7032528102408863E-3</v>
      </c>
      <c r="BD22" s="5">
        <f t="shared" si="23"/>
        <v>0.97757782738054966</v>
      </c>
      <c r="BE22" s="6">
        <f t="shared" si="24"/>
        <v>0.92694428513722282</v>
      </c>
      <c r="BF22" s="7">
        <f t="shared" si="25"/>
        <v>0.12694428513722278</v>
      </c>
      <c r="BG22" s="5">
        <v>0.85</v>
      </c>
      <c r="BH22" s="5">
        <f t="shared" si="26"/>
        <v>0.16691669853610941</v>
      </c>
      <c r="BI22" s="5">
        <f t="shared" si="27"/>
        <v>-7.7887429874196251E-2</v>
      </c>
      <c r="BJ22" s="5">
        <f t="shared" si="28"/>
        <v>4.5129887164520972E-3</v>
      </c>
      <c r="BK22" s="5">
        <f t="shared" si="29"/>
        <v>-5.2748289841609972E-6</v>
      </c>
      <c r="BL22" s="5">
        <f t="shared" si="30"/>
        <v>4.1556541979320284E-3</v>
      </c>
      <c r="BM22" s="5">
        <f t="shared" si="31"/>
        <v>0.98011250406090911</v>
      </c>
      <c r="BN22" s="8">
        <f t="shared" si="32"/>
        <v>0.93070384231318637</v>
      </c>
      <c r="BO22" s="9">
        <f t="shared" si="33"/>
        <v>8.0703842313186391E-2</v>
      </c>
      <c r="BP22" s="10">
        <f t="shared" si="34"/>
        <v>-0.92480885648072897</v>
      </c>
      <c r="BQ22" s="10">
        <f t="shared" si="35"/>
        <v>0.93726542976707328</v>
      </c>
    </row>
    <row r="23" spans="2:69">
      <c r="B23">
        <f t="shared" si="36"/>
        <v>1400</v>
      </c>
      <c r="C23">
        <f t="shared" si="46"/>
        <v>145.60000000000008</v>
      </c>
      <c r="D23">
        <f t="shared" si="0"/>
        <v>605.60000000000014</v>
      </c>
      <c r="E23">
        <f t="shared" si="37"/>
        <v>605.20000000000005</v>
      </c>
      <c r="F23">
        <f t="shared" si="47"/>
        <v>581.72519551900609</v>
      </c>
      <c r="G23">
        <f t="shared" si="38"/>
        <v>575.19606893624541</v>
      </c>
      <c r="H23">
        <f t="shared" si="1"/>
        <v>0.93618332325574705</v>
      </c>
      <c r="I23">
        <f t="shared" si="39"/>
        <v>0.93672437651141016</v>
      </c>
      <c r="K23">
        <f t="shared" si="40"/>
        <v>-7.6877592873393691E-3</v>
      </c>
      <c r="L23">
        <f t="shared" si="41"/>
        <v>4.3795286389953685E-3</v>
      </c>
      <c r="M23">
        <f t="shared" si="48"/>
        <v>604606493.41593099</v>
      </c>
      <c r="N23">
        <f t="shared" si="49"/>
        <v>353543.95975558122</v>
      </c>
      <c r="O23">
        <f t="shared" si="50"/>
        <v>594.59562709086686</v>
      </c>
      <c r="Q23" s="2">
        <f t="shared" si="42"/>
        <v>1.8006663016693314</v>
      </c>
      <c r="R23" s="2">
        <f t="shared" si="2"/>
        <v>2.8856831757521337E-2</v>
      </c>
      <c r="W23" s="2">
        <f t="shared" si="3"/>
        <v>144286.67003524394</v>
      </c>
      <c r="X23" s="2">
        <f t="shared" si="43"/>
        <v>1177.4754300000002</v>
      </c>
      <c r="Y23" s="2">
        <f t="shared" si="4"/>
        <v>122.53900706466878</v>
      </c>
      <c r="Z23" s="2">
        <f t="shared" si="44"/>
        <v>5.2667976313936586</v>
      </c>
      <c r="AA23" s="2">
        <f t="shared" si="5"/>
        <v>1.2756642067780504</v>
      </c>
      <c r="AB23" s="2">
        <f t="shared" si="6"/>
        <v>1.0588598810218735</v>
      </c>
      <c r="AC23" s="2">
        <f t="shared" si="7"/>
        <v>1.297516384410337E-2</v>
      </c>
      <c r="AD23" s="2">
        <f t="shared" si="8"/>
        <v>4048827.1310865399</v>
      </c>
      <c r="AI23">
        <f t="shared" si="9"/>
        <v>1.2460892591000976E-6</v>
      </c>
      <c r="AK23">
        <f t="shared" si="10"/>
        <v>6.8101286428852169E-6</v>
      </c>
      <c r="AL23">
        <f t="shared" si="11"/>
        <v>-3.9963668234745553</v>
      </c>
      <c r="AM23">
        <f t="shared" si="12"/>
        <v>15.110615904127419</v>
      </c>
      <c r="AN23">
        <f t="shared" si="13"/>
        <v>228.33071300206851</v>
      </c>
      <c r="AO23">
        <f t="shared" si="14"/>
        <v>4.3796123038031274E-3</v>
      </c>
      <c r="AQ23" s="3">
        <f t="shared" si="45"/>
        <v>145.60000000000008</v>
      </c>
      <c r="AR23" s="3">
        <f t="shared" si="15"/>
        <v>605.60000000000014</v>
      </c>
      <c r="AS23">
        <f t="shared" si="51"/>
        <v>581.72519551900609</v>
      </c>
      <c r="AV23" s="3">
        <f t="shared" si="16"/>
        <v>1.6149333333333338</v>
      </c>
      <c r="AW23" s="3">
        <f t="shared" si="17"/>
        <v>0.86695260136960672</v>
      </c>
      <c r="AX23" s="4">
        <v>0.8</v>
      </c>
      <c r="AY23" s="5">
        <f t="shared" si="18"/>
        <v>0.18118178436400401</v>
      </c>
      <c r="AZ23" s="5">
        <f t="shared" si="19"/>
        <v>-8.4290385040985322E-2</v>
      </c>
      <c r="BA23" s="5">
        <f t="shared" si="20"/>
        <v>5.3309791852340759E-3</v>
      </c>
      <c r="BB23" s="5">
        <f t="shared" si="21"/>
        <v>-7.9398722769688674E-6</v>
      </c>
      <c r="BC23" s="5">
        <f t="shared" si="22"/>
        <v>4.8940480812391151E-3</v>
      </c>
      <c r="BD23" s="5">
        <f t="shared" si="23"/>
        <v>0.97660974304591852</v>
      </c>
      <c r="BE23" s="6">
        <f t="shared" si="24"/>
        <v>0.92582810905559909</v>
      </c>
      <c r="BF23" s="7">
        <f t="shared" si="25"/>
        <v>0.12582810905559905</v>
      </c>
      <c r="BG23" s="5">
        <v>0.85</v>
      </c>
      <c r="BH23" s="5">
        <f t="shared" si="26"/>
        <v>0.170524032342592</v>
      </c>
      <c r="BI23" s="5">
        <f t="shared" si="27"/>
        <v>-7.9332127097397953E-2</v>
      </c>
      <c r="BJ23" s="5">
        <f t="shared" si="28"/>
        <v>4.7222514582004275E-3</v>
      </c>
      <c r="BK23" s="5">
        <f t="shared" si="29"/>
        <v>-5.8636605747585186E-6</v>
      </c>
      <c r="BL23" s="5">
        <f t="shared" si="30"/>
        <v>4.3237667249738845E-3</v>
      </c>
      <c r="BM23" s="5">
        <f t="shared" si="31"/>
        <v>0.97925269015424798</v>
      </c>
      <c r="BN23" s="8">
        <f t="shared" si="32"/>
        <v>0.92963004821840733</v>
      </c>
      <c r="BO23" s="9">
        <f t="shared" si="33"/>
        <v>7.9630048218407357E-2</v>
      </c>
      <c r="BP23" s="10">
        <f t="shared" si="34"/>
        <v>-0.92396121674383502</v>
      </c>
      <c r="BQ23" s="10">
        <f t="shared" si="35"/>
        <v>0.93618332325574705</v>
      </c>
    </row>
    <row r="24" spans="2:69">
      <c r="B24">
        <f t="shared" si="36"/>
        <v>1600</v>
      </c>
      <c r="C24">
        <f t="shared" si="46"/>
        <v>146.40000000000009</v>
      </c>
      <c r="D24">
        <f t="shared" si="0"/>
        <v>606.40000000000009</v>
      </c>
      <c r="E24">
        <f t="shared" si="37"/>
        <v>606.00000000000011</v>
      </c>
      <c r="F24">
        <f t="shared" si="47"/>
        <v>594.59562709086686</v>
      </c>
      <c r="G24">
        <f t="shared" si="38"/>
        <v>588.16041130493647</v>
      </c>
      <c r="H24">
        <f t="shared" si="1"/>
        <v>0.93513775962754864</v>
      </c>
      <c r="I24">
        <f t="shared" si="39"/>
        <v>0.9356605414416479</v>
      </c>
      <c r="K24">
        <f t="shared" si="40"/>
        <v>-7.6863397832725991E-3</v>
      </c>
      <c r="L24">
        <f t="shared" si="41"/>
        <v>4.3796123038031274E-3</v>
      </c>
      <c r="M24">
        <f t="shared" si="48"/>
        <v>604841384.48274505</v>
      </c>
      <c r="N24">
        <f t="shared" si="49"/>
        <v>368802.59418354812</v>
      </c>
      <c r="O24">
        <f t="shared" si="50"/>
        <v>607.29119389593336</v>
      </c>
      <c r="Q24" s="2">
        <f t="shared" si="42"/>
        <v>1.8401323252468802</v>
      </c>
      <c r="R24" s="2">
        <f t="shared" si="2"/>
        <v>2.9489300084084621E-2</v>
      </c>
      <c r="W24" s="2">
        <f t="shared" si="3"/>
        <v>144572.66932922983</v>
      </c>
      <c r="X24" s="2">
        <f t="shared" si="43"/>
        <v>1178.2754300000001</v>
      </c>
      <c r="Y24" s="2">
        <f t="shared" si="4"/>
        <v>122.69853520515981</v>
      </c>
      <c r="Z24" s="2">
        <f t="shared" si="44"/>
        <v>5.2646488215171496</v>
      </c>
      <c r="AA24" s="2">
        <f t="shared" si="5"/>
        <v>1.276142102094586</v>
      </c>
      <c r="AB24" s="2">
        <f t="shared" si="6"/>
        <v>1.060429212692273</v>
      </c>
      <c r="AC24" s="2">
        <f t="shared" si="7"/>
        <v>1.3011311108610276E-2</v>
      </c>
      <c r="AD24" s="2">
        <f t="shared" si="8"/>
        <v>4037578.9160505263</v>
      </c>
      <c r="AI24">
        <f t="shared" si="9"/>
        <v>1.2495607156912509E-6</v>
      </c>
      <c r="AK24">
        <f t="shared" si="10"/>
        <v>6.8271651678185676E-6</v>
      </c>
      <c r="AL24">
        <f t="shared" si="11"/>
        <v>-3.9962934573693247</v>
      </c>
      <c r="AM24">
        <f t="shared" si="12"/>
        <v>15.110472428527865</v>
      </c>
      <c r="AN24">
        <f t="shared" si="13"/>
        <v>228.3263770133008</v>
      </c>
      <c r="AO24">
        <f t="shared" si="14"/>
        <v>4.3796954740001268E-3</v>
      </c>
      <c r="AQ24" s="3">
        <f t="shared" si="45"/>
        <v>146.40000000000009</v>
      </c>
      <c r="AR24" s="3">
        <f t="shared" si="15"/>
        <v>606.40000000000009</v>
      </c>
      <c r="AS24">
        <f t="shared" si="51"/>
        <v>594.59562709086686</v>
      </c>
      <c r="AV24" s="3">
        <f t="shared" si="16"/>
        <v>1.6170666666666669</v>
      </c>
      <c r="AW24" s="3">
        <f t="shared" si="17"/>
        <v>0.88613357241559887</v>
      </c>
      <c r="AX24" s="4">
        <v>0.8</v>
      </c>
      <c r="AY24" s="5">
        <f t="shared" si="18"/>
        <v>0.18494604264322101</v>
      </c>
      <c r="AZ24" s="5">
        <f t="shared" si="19"/>
        <v>-8.5783812657444558E-2</v>
      </c>
      <c r="BA24" s="5">
        <f t="shared" si="20"/>
        <v>5.5689861695834859E-3</v>
      </c>
      <c r="BB24" s="5">
        <f t="shared" si="21"/>
        <v>-8.7901831445117214E-6</v>
      </c>
      <c r="BC24" s="5">
        <f t="shared" si="22"/>
        <v>5.0842938466168176E-3</v>
      </c>
      <c r="BD24" s="5">
        <f t="shared" si="23"/>
        <v>0.97563978553075348</v>
      </c>
      <c r="BE24" s="6">
        <f t="shared" si="24"/>
        <v>0.92475440305337187</v>
      </c>
      <c r="BF24" s="7">
        <f t="shared" si="25"/>
        <v>0.12475440305337182</v>
      </c>
      <c r="BG24" s="5">
        <v>0.85</v>
      </c>
      <c r="BH24" s="5">
        <f t="shared" si="26"/>
        <v>0.17406686366420804</v>
      </c>
      <c r="BI24" s="5">
        <f t="shared" si="27"/>
        <v>-8.073770603053608E-2</v>
      </c>
      <c r="BJ24" s="5">
        <f t="shared" si="28"/>
        <v>4.9330811744407368E-3</v>
      </c>
      <c r="BK24" s="5">
        <f t="shared" si="29"/>
        <v>-6.4916221006337483E-6</v>
      </c>
      <c r="BL24" s="5">
        <f t="shared" si="30"/>
        <v>4.4913568211670815E-3</v>
      </c>
      <c r="BM24" s="5">
        <f t="shared" si="31"/>
        <v>0.97839111495268649</v>
      </c>
      <c r="BN24" s="8">
        <f t="shared" si="32"/>
        <v>0.92859617037391728</v>
      </c>
      <c r="BO24" s="9">
        <f t="shared" si="33"/>
        <v>7.8596170373917307E-2</v>
      </c>
      <c r="BP24" s="10">
        <f t="shared" si="34"/>
        <v>-0.9231646535890915</v>
      </c>
      <c r="BQ24" s="10">
        <f t="shared" si="35"/>
        <v>0.93513775962754864</v>
      </c>
    </row>
    <row r="25" spans="2:69">
      <c r="B25">
        <f t="shared" si="36"/>
        <v>1800</v>
      </c>
      <c r="C25">
        <f t="shared" si="46"/>
        <v>147.2000000000001</v>
      </c>
      <c r="D25">
        <f t="shared" si="0"/>
        <v>607.20000000000005</v>
      </c>
      <c r="E25">
        <f t="shared" si="37"/>
        <v>606.80000000000007</v>
      </c>
      <c r="F25">
        <f t="shared" si="47"/>
        <v>607.29119389593336</v>
      </c>
      <c r="G25">
        <f t="shared" si="38"/>
        <v>600.94341049340005</v>
      </c>
      <c r="H25">
        <f t="shared" si="1"/>
        <v>0.93412690584769464</v>
      </c>
      <c r="I25">
        <f t="shared" si="39"/>
        <v>0.93463233273762159</v>
      </c>
      <c r="K25">
        <f t="shared" si="40"/>
        <v>-7.6846509337640308E-3</v>
      </c>
      <c r="L25">
        <f t="shared" si="41"/>
        <v>4.3796954740001268E-3</v>
      </c>
      <c r="M25">
        <f t="shared" si="48"/>
        <v>605118755.8723321</v>
      </c>
      <c r="N25">
        <f t="shared" si="49"/>
        <v>384181.31717848813</v>
      </c>
      <c r="O25">
        <f t="shared" si="50"/>
        <v>619.82361779661812</v>
      </c>
      <c r="Q25" s="2">
        <f t="shared" si="42"/>
        <v>1.8789770225976183</v>
      </c>
      <c r="R25" s="2">
        <f t="shared" si="2"/>
        <v>3.0111811259577216E-2</v>
      </c>
      <c r="W25" s="2">
        <f t="shared" si="3"/>
        <v>144858.85733937964</v>
      </c>
      <c r="X25" s="2">
        <f t="shared" si="43"/>
        <v>1179.0754300000001</v>
      </c>
      <c r="Y25" s="2">
        <f t="shared" si="4"/>
        <v>122.85800692104968</v>
      </c>
      <c r="Z25" s="2">
        <f t="shared" si="44"/>
        <v>5.2625056738537541</v>
      </c>
      <c r="AA25" s="2">
        <f t="shared" si="5"/>
        <v>1.2766187381349252</v>
      </c>
      <c r="AB25" s="2">
        <f t="shared" si="6"/>
        <v>1.0619787655214037</v>
      </c>
      <c r="AC25" s="2">
        <f t="shared" si="7"/>
        <v>1.3047259452443642E-2</v>
      </c>
      <c r="AD25" s="2">
        <f t="shared" si="8"/>
        <v>4026454.4131878698</v>
      </c>
      <c r="AI25">
        <f t="shared" si="9"/>
        <v>1.2530130686381117E-6</v>
      </c>
      <c r="AK25">
        <f t="shared" si="10"/>
        <v>6.8441031571493105E-6</v>
      </c>
      <c r="AL25">
        <f t="shared" si="11"/>
        <v>-3.9962205278823717</v>
      </c>
      <c r="AM25">
        <f t="shared" si="12"/>
        <v>15.110329759064539</v>
      </c>
      <c r="AN25">
        <f t="shared" si="13"/>
        <v>228.32206542767142</v>
      </c>
      <c r="AO25">
        <f t="shared" si="14"/>
        <v>4.379778179243842E-3</v>
      </c>
      <c r="AQ25" s="3">
        <f t="shared" si="45"/>
        <v>147.2000000000001</v>
      </c>
      <c r="AR25" s="3">
        <f t="shared" si="15"/>
        <v>607.20000000000005</v>
      </c>
      <c r="AS25">
        <f t="shared" si="51"/>
        <v>607.29119389593336</v>
      </c>
      <c r="AV25" s="3">
        <f t="shared" si="16"/>
        <v>1.6192000000000002</v>
      </c>
      <c r="AW25" s="3">
        <f t="shared" si="17"/>
        <v>0.9050539402323895</v>
      </c>
      <c r="AX25" s="4">
        <v>0.8</v>
      </c>
      <c r="AY25" s="5">
        <f t="shared" si="18"/>
        <v>0.18864606276459453</v>
      </c>
      <c r="AZ25" s="5">
        <f t="shared" si="19"/>
        <v>-8.7238002850204249E-2</v>
      </c>
      <c r="BA25" s="5">
        <f t="shared" si="20"/>
        <v>5.8087755918444367E-3</v>
      </c>
      <c r="BB25" s="5">
        <f t="shared" si="21"/>
        <v>-9.6949091631999036E-6</v>
      </c>
      <c r="BC25" s="5">
        <f t="shared" si="22"/>
        <v>5.2740051302145406E-3</v>
      </c>
      <c r="BD25" s="5">
        <f t="shared" si="23"/>
        <v>0.97466791112774909</v>
      </c>
      <c r="BE25" s="6">
        <f t="shared" si="24"/>
        <v>0.92372087121434676</v>
      </c>
      <c r="BF25" s="7">
        <f t="shared" si="25"/>
        <v>0.12372087121434672</v>
      </c>
      <c r="BG25" s="5">
        <v>0.85</v>
      </c>
      <c r="BH25" s="5">
        <f t="shared" si="26"/>
        <v>0.1775492355431478</v>
      </c>
      <c r="BI25" s="5">
        <f t="shared" si="27"/>
        <v>-8.210635562372165E-2</v>
      </c>
      <c r="BJ25" s="5">
        <f t="shared" si="28"/>
        <v>5.1454897976199862E-3</v>
      </c>
      <c r="BK25" s="5">
        <f t="shared" si="29"/>
        <v>-7.1597696604034809E-6</v>
      </c>
      <c r="BL25" s="5">
        <f t="shared" si="30"/>
        <v>4.6584378399422404E-3</v>
      </c>
      <c r="BM25" s="5">
        <f t="shared" si="31"/>
        <v>0.97752773895150791</v>
      </c>
      <c r="BN25" s="8">
        <f t="shared" si="32"/>
        <v>0.92760004615228364</v>
      </c>
      <c r="BO25" s="9">
        <f t="shared" si="33"/>
        <v>7.7600046152283664E-2</v>
      </c>
      <c r="BP25" s="10">
        <f t="shared" si="34"/>
        <v>-0.92241650124126229</v>
      </c>
      <c r="BQ25" s="10">
        <f t="shared" si="35"/>
        <v>0.93412690584769464</v>
      </c>
    </row>
    <row r="26" spans="2:69">
      <c r="B26">
        <f t="shared" si="36"/>
        <v>2000</v>
      </c>
      <c r="C26">
        <f t="shared" si="46"/>
        <v>148.00000000000011</v>
      </c>
      <c r="D26">
        <f t="shared" si="0"/>
        <v>608.00000000000011</v>
      </c>
      <c r="E26">
        <f t="shared" si="37"/>
        <v>607.60000000000014</v>
      </c>
      <c r="F26">
        <f t="shared" si="47"/>
        <v>619.82361779661812</v>
      </c>
      <c r="G26">
        <f t="shared" si="38"/>
        <v>613.55740584627574</v>
      </c>
      <c r="H26">
        <f t="shared" si="1"/>
        <v>0.9331490943242744</v>
      </c>
      <c r="I26">
        <f t="shared" si="39"/>
        <v>0.93363800008598452</v>
      </c>
      <c r="K26">
        <f t="shared" si="40"/>
        <v>-7.6827063391366078E-3</v>
      </c>
      <c r="L26">
        <f t="shared" si="41"/>
        <v>4.379778179243842E-3</v>
      </c>
      <c r="M26">
        <f t="shared" si="48"/>
        <v>605436554.48746729</v>
      </c>
      <c r="N26">
        <f t="shared" si="49"/>
        <v>399681.31968382403</v>
      </c>
      <c r="O26">
        <f t="shared" si="50"/>
        <v>632.20354292254956</v>
      </c>
      <c r="Q26" s="2">
        <f t="shared" si="42"/>
        <v>1.917236252347323</v>
      </c>
      <c r="R26" s="2">
        <f t="shared" si="2"/>
        <v>3.0724939941463511E-2</v>
      </c>
      <c r="W26" s="2">
        <f t="shared" si="3"/>
        <v>145145.23394133284</v>
      </c>
      <c r="X26" s="2">
        <f t="shared" si="43"/>
        <v>1179.8754300000001</v>
      </c>
      <c r="Y26" s="2">
        <f t="shared" si="4"/>
        <v>123.01742222171102</v>
      </c>
      <c r="Z26" s="2">
        <f t="shared" si="44"/>
        <v>5.2603681660526309</v>
      </c>
      <c r="AA26" s="2">
        <f t="shared" si="5"/>
        <v>1.2770941198698951</v>
      </c>
      <c r="AB26" s="2">
        <f t="shared" si="6"/>
        <v>1.0635095669170551</v>
      </c>
      <c r="AC26" s="2">
        <f t="shared" si="7"/>
        <v>1.3083020543026441E-2</v>
      </c>
      <c r="AD26" s="2">
        <f t="shared" si="8"/>
        <v>4015448.514318876</v>
      </c>
      <c r="AI26">
        <f t="shared" si="9"/>
        <v>1.2564474384390897E-6</v>
      </c>
      <c r="AK26">
        <f t="shared" si="10"/>
        <v>6.8609481995111936E-6</v>
      </c>
      <c r="AL26">
        <f t="shared" si="11"/>
        <v>-3.996148010739041</v>
      </c>
      <c r="AM26">
        <f t="shared" si="12"/>
        <v>15.110187849160459</v>
      </c>
      <c r="AN26">
        <f t="shared" si="13"/>
        <v>228.31777683691638</v>
      </c>
      <c r="AO26">
        <f t="shared" si="14"/>
        <v>4.3798604464963913E-3</v>
      </c>
      <c r="AQ26" s="3">
        <f t="shared" si="45"/>
        <v>148.00000000000011</v>
      </c>
      <c r="AR26" s="3">
        <f t="shared" si="15"/>
        <v>608.00000000000011</v>
      </c>
      <c r="AS26">
        <f t="shared" si="51"/>
        <v>619.82361779661812</v>
      </c>
      <c r="AV26" s="3">
        <f t="shared" si="16"/>
        <v>1.6213333333333337</v>
      </c>
      <c r="AW26" s="3">
        <f t="shared" si="17"/>
        <v>0.92373117406351435</v>
      </c>
      <c r="AX26" s="4">
        <v>0.8</v>
      </c>
      <c r="AY26" s="5">
        <f t="shared" si="18"/>
        <v>0.192285734732588</v>
      </c>
      <c r="AZ26" s="5">
        <f t="shared" si="19"/>
        <v>-8.8655068056454053E-2</v>
      </c>
      <c r="BA26" s="5">
        <f t="shared" si="20"/>
        <v>6.0503605482809175E-3</v>
      </c>
      <c r="BB26" s="5">
        <f t="shared" si="21"/>
        <v>-1.0655482204882693E-5</v>
      </c>
      <c r="BC26" s="5">
        <f t="shared" si="22"/>
        <v>5.463196385342599E-3</v>
      </c>
      <c r="BD26" s="5">
        <f t="shared" si="23"/>
        <v>0.97369407843307865</v>
      </c>
      <c r="BE26" s="6">
        <f t="shared" si="24"/>
        <v>0.92272542994375684</v>
      </c>
      <c r="BF26" s="7">
        <f t="shared" si="25"/>
        <v>0.12272542994375679</v>
      </c>
      <c r="BG26" s="5">
        <v>0.85</v>
      </c>
      <c r="BH26" s="5">
        <f t="shared" si="26"/>
        <v>0.18097480916008285</v>
      </c>
      <c r="BI26" s="5">
        <f t="shared" si="27"/>
        <v>-8.3440064053133242E-2</v>
      </c>
      <c r="BJ26" s="5">
        <f t="shared" si="28"/>
        <v>5.359488928581021E-3</v>
      </c>
      <c r="BK26" s="5">
        <f t="shared" si="29"/>
        <v>-7.8691607031321306E-6</v>
      </c>
      <c r="BL26" s="5">
        <f t="shared" si="30"/>
        <v>4.8250226237142833E-3</v>
      </c>
      <c r="BM26" s="5">
        <f t="shared" si="31"/>
        <v>0.9766625246723577</v>
      </c>
      <c r="BN26" s="8">
        <f t="shared" si="32"/>
        <v>0.92663971281342905</v>
      </c>
      <c r="BO26" s="9">
        <f t="shared" si="33"/>
        <v>7.6639712813429073E-2</v>
      </c>
      <c r="BP26" s="10">
        <f t="shared" si="34"/>
        <v>-0.9217143426065556</v>
      </c>
      <c r="BQ26" s="10">
        <f t="shared" si="35"/>
        <v>0.9331490943242744</v>
      </c>
    </row>
    <row r="27" spans="2:69" ht="18">
      <c r="B27">
        <f t="shared" si="36"/>
        <v>2200</v>
      </c>
      <c r="C27">
        <f t="shared" si="46"/>
        <v>148.80000000000013</v>
      </c>
      <c r="D27">
        <f t="shared" si="0"/>
        <v>608.80000000000018</v>
      </c>
      <c r="E27">
        <f t="shared" si="37"/>
        <v>608.40000000000009</v>
      </c>
      <c r="F27">
        <f t="shared" si="47"/>
        <v>632.20354292254956</v>
      </c>
      <c r="G27">
        <f t="shared" si="38"/>
        <v>626.01358035958378</v>
      </c>
      <c r="H27">
        <f t="shared" si="1"/>
        <v>0.93220280231725328</v>
      </c>
      <c r="I27">
        <f t="shared" si="39"/>
        <v>0.93267594832076384</v>
      </c>
      <c r="K27">
        <f t="shared" si="40"/>
        <v>-7.6805184237773603E-3</v>
      </c>
      <c r="L27">
        <f t="shared" si="41"/>
        <v>4.3798604464963913E-3</v>
      </c>
      <c r="M27">
        <f t="shared" si="48"/>
        <v>605792918.34646714</v>
      </c>
      <c r="N27">
        <f t="shared" si="49"/>
        <v>415303.77475742146</v>
      </c>
      <c r="O27">
        <f t="shared" si="50"/>
        <v>644.44066814364021</v>
      </c>
      <c r="P27" s="1"/>
      <c r="Q27" s="2">
        <f t="shared" si="42"/>
        <v>1.9549425861270298</v>
      </c>
      <c r="R27" s="2">
        <f t="shared" si="2"/>
        <v>3.1329208111010094E-2</v>
      </c>
      <c r="S27" s="1"/>
      <c r="T27" s="1"/>
      <c r="U27" s="1"/>
      <c r="V27" s="1"/>
      <c r="W27" s="2">
        <f t="shared" si="3"/>
        <v>145431.79901097534</v>
      </c>
      <c r="X27" s="2">
        <f t="shared" si="43"/>
        <v>1180.6754300000002</v>
      </c>
      <c r="Y27" s="2">
        <f t="shared" si="4"/>
        <v>123.17678111669971</v>
      </c>
      <c r="Z27" s="2">
        <f t="shared" si="44"/>
        <v>5.25823627588042</v>
      </c>
      <c r="AA27" s="2">
        <f t="shared" si="5"/>
        <v>1.2775682522441947</v>
      </c>
      <c r="AB27" s="2">
        <f t="shared" si="6"/>
        <v>1.0650225557824426</v>
      </c>
      <c r="AC27" s="2">
        <f t="shared" si="7"/>
        <v>1.3118605023796207E-2</v>
      </c>
      <c r="AD27" s="2">
        <f t="shared" si="8"/>
        <v>4004556.5292198062</v>
      </c>
      <c r="AE27" s="1"/>
      <c r="AF27" s="1"/>
      <c r="AG27" s="1"/>
      <c r="AH27" s="1"/>
      <c r="AI27">
        <f t="shared" si="9"/>
        <v>1.2598648472526217E-6</v>
      </c>
      <c r="AJ27" s="1"/>
      <c r="AK27">
        <f t="shared" si="10"/>
        <v>6.8777053943203141E-6</v>
      </c>
      <c r="AL27">
        <f t="shared" si="11"/>
        <v>-3.9960758837875727</v>
      </c>
      <c r="AM27">
        <f t="shared" si="12"/>
        <v>15.110046656324329</v>
      </c>
      <c r="AN27">
        <f t="shared" si="13"/>
        <v>228.31350995629802</v>
      </c>
      <c r="AO27">
        <f t="shared" si="14"/>
        <v>4.379942300354509E-3</v>
      </c>
      <c r="AQ27" s="3">
        <f t="shared" si="45"/>
        <v>148.80000000000013</v>
      </c>
      <c r="AR27" s="3">
        <f t="shared" si="15"/>
        <v>608.80000000000018</v>
      </c>
      <c r="AS27">
        <f t="shared" si="51"/>
        <v>632.20354292254956</v>
      </c>
      <c r="AV27" s="3">
        <f t="shared" si="16"/>
        <v>1.6234666666666671</v>
      </c>
      <c r="AW27" s="3">
        <f t="shared" si="17"/>
        <v>0.94218113699336747</v>
      </c>
      <c r="AX27" s="4">
        <v>0.8</v>
      </c>
      <c r="AY27" s="5">
        <f t="shared" si="18"/>
        <v>0.19586859420289596</v>
      </c>
      <c r="AZ27" s="5">
        <f t="shared" si="19"/>
        <v>-9.0036934045411424E-2</v>
      </c>
      <c r="BA27" s="5">
        <f t="shared" si="20"/>
        <v>6.2937537955862098E-3</v>
      </c>
      <c r="BB27" s="5">
        <f t="shared" si="21"/>
        <v>-1.1673336966294464E-5</v>
      </c>
      <c r="BC27" s="5">
        <f t="shared" si="22"/>
        <v>5.6518815391343622E-3</v>
      </c>
      <c r="BD27" s="5">
        <f t="shared" si="23"/>
        <v>0.97271824815947672</v>
      </c>
      <c r="BE27" s="6">
        <f t="shared" si="24"/>
        <v>0.92176618139669264</v>
      </c>
      <c r="BF27" s="7">
        <f t="shared" si="25"/>
        <v>0.1217661813966926</v>
      </c>
      <c r="BG27" s="5">
        <v>0.85</v>
      </c>
      <c r="BH27" s="5">
        <f t="shared" si="26"/>
        <v>0.18434691219096089</v>
      </c>
      <c r="BI27" s="5">
        <f t="shared" si="27"/>
        <v>-8.4740643807446045E-2</v>
      </c>
      <c r="BJ27" s="5">
        <f t="shared" si="28"/>
        <v>5.5750898673704819E-3</v>
      </c>
      <c r="BK27" s="5">
        <f t="shared" si="29"/>
        <v>-8.6208547640848182E-6</v>
      </c>
      <c r="BL27" s="5">
        <f t="shared" si="30"/>
        <v>4.9911235434492414E-3</v>
      </c>
      <c r="BM27" s="5">
        <f t="shared" si="31"/>
        <v>0.97579543649816913</v>
      </c>
      <c r="BN27" s="8">
        <f t="shared" si="32"/>
        <v>0.9257133824913848</v>
      </c>
      <c r="BO27" s="9">
        <f t="shared" si="33"/>
        <v>7.5713382491384817E-2</v>
      </c>
      <c r="BP27" s="10">
        <f t="shared" si="34"/>
        <v>-0.9210559781061568</v>
      </c>
      <c r="BQ27" s="10">
        <f t="shared" si="35"/>
        <v>0.93220280231725328</v>
      </c>
    </row>
    <row r="28" spans="2:69">
      <c r="B28">
        <f t="shared" si="36"/>
        <v>2400</v>
      </c>
      <c r="C28">
        <f t="shared" si="46"/>
        <v>149.60000000000014</v>
      </c>
      <c r="D28">
        <f t="shared" si="0"/>
        <v>609.60000000000014</v>
      </c>
      <c r="E28">
        <f t="shared" si="37"/>
        <v>609.20000000000016</v>
      </c>
      <c r="F28">
        <f t="shared" si="47"/>
        <v>644.44066814364021</v>
      </c>
      <c r="G28">
        <f t="shared" si="38"/>
        <v>638.32210553309483</v>
      </c>
      <c r="H28">
        <f t="shared" si="1"/>
        <v>0.93128663454845273</v>
      </c>
      <c r="I28">
        <f t="shared" si="39"/>
        <v>0.931744718432853</v>
      </c>
      <c r="K28">
        <f t="shared" si="40"/>
        <v>-7.6780985792671919E-3</v>
      </c>
      <c r="L28">
        <f t="shared" si="41"/>
        <v>4.379942300354509E-3</v>
      </c>
      <c r="M28">
        <f t="shared" si="48"/>
        <v>606186152.88527071</v>
      </c>
      <c r="N28">
        <f t="shared" si="49"/>
        <v>431049.83929191343</v>
      </c>
      <c r="O28">
        <f t="shared" si="50"/>
        <v>656.54385938177313</v>
      </c>
      <c r="Q28" s="2">
        <f t="shared" si="42"/>
        <v>1.9921257108497139</v>
      </c>
      <c r="R28" s="2">
        <f t="shared" si="2"/>
        <v>3.1925091520027468E-2</v>
      </c>
      <c r="W28" s="2">
        <f t="shared" si="3"/>
        <v>145718.55242443719</v>
      </c>
      <c r="X28" s="2">
        <f t="shared" si="43"/>
        <v>1181.4754300000002</v>
      </c>
      <c r="Y28" s="2">
        <f t="shared" si="4"/>
        <v>123.33608361575253</v>
      </c>
      <c r="Z28" s="2">
        <f t="shared" si="44"/>
        <v>5.2561099812204715</v>
      </c>
      <c r="AA28" s="2">
        <f t="shared" si="5"/>
        <v>1.2780411401765672</v>
      </c>
      <c r="AB28" s="2">
        <f t="shared" si="6"/>
        <v>1.0665185929041281</v>
      </c>
      <c r="AC28" s="2">
        <f t="shared" si="7"/>
        <v>1.3154022635217828E-2</v>
      </c>
      <c r="AD28" s="2">
        <f t="shared" si="8"/>
        <v>3993774.1373233465</v>
      </c>
      <c r="AI28">
        <f t="shared" si="9"/>
        <v>1.2632662305188161E-6</v>
      </c>
      <c r="AK28">
        <f t="shared" si="10"/>
        <v>6.8943794095347418E-6</v>
      </c>
      <c r="AL28">
        <f t="shared" si="11"/>
        <v>-3.9960041267485824</v>
      </c>
      <c r="AM28">
        <f t="shared" si="12"/>
        <v>15.109906141667862</v>
      </c>
      <c r="AN28">
        <f t="shared" si="13"/>
        <v>228.30926361001218</v>
      </c>
      <c r="AO28">
        <f t="shared" si="14"/>
        <v>4.3800237633290079E-3</v>
      </c>
      <c r="AQ28" s="3">
        <f t="shared" si="45"/>
        <v>149.60000000000014</v>
      </c>
      <c r="AR28" s="3">
        <f t="shared" si="15"/>
        <v>609.60000000000014</v>
      </c>
      <c r="AS28">
        <f t="shared" si="51"/>
        <v>644.44066814364021</v>
      </c>
      <c r="AV28" s="3">
        <f t="shared" si="16"/>
        <v>1.6256000000000004</v>
      </c>
      <c r="AW28" s="3">
        <f t="shared" si="17"/>
        <v>0.9604182833735323</v>
      </c>
      <c r="AX28" s="4">
        <v>0.8</v>
      </c>
      <c r="AY28" s="5">
        <f t="shared" si="18"/>
        <v>0.19939786579636265</v>
      </c>
      <c r="AZ28" s="5">
        <f t="shared" si="19"/>
        <v>-9.1385362419685742E-2</v>
      </c>
      <c r="BA28" s="5">
        <f t="shared" si="20"/>
        <v>6.5389677811391782E-3</v>
      </c>
      <c r="BB28" s="5">
        <f t="shared" si="21"/>
        <v>-1.2749911876112725E-5</v>
      </c>
      <c r="BC28" s="5">
        <f t="shared" si="22"/>
        <v>5.8400740315818636E-3</v>
      </c>
      <c r="BD28" s="5">
        <f t="shared" si="23"/>
        <v>0.97174038297244725</v>
      </c>
      <c r="BE28" s="6">
        <f t="shared" si="24"/>
        <v>0.92084139104936635</v>
      </c>
      <c r="BF28" s="7">
        <f t="shared" si="25"/>
        <v>0.12084139104936631</v>
      </c>
      <c r="BG28" s="5">
        <v>0.85</v>
      </c>
      <c r="BH28" s="5">
        <f t="shared" si="26"/>
        <v>0.1876685795730472</v>
      </c>
      <c r="BI28" s="5">
        <f t="shared" si="27"/>
        <v>-8.6009752865586583E-2</v>
      </c>
      <c r="BJ28" s="5">
        <f t="shared" si="28"/>
        <v>5.7923036400402399E-3</v>
      </c>
      <c r="BK28" s="5">
        <f t="shared" si="29"/>
        <v>-9.4159141345971969E-6</v>
      </c>
      <c r="BL28" s="5">
        <f t="shared" si="30"/>
        <v>5.1567525334998169E-3</v>
      </c>
      <c r="BM28" s="5">
        <f t="shared" si="31"/>
        <v>0.97492644052853339</v>
      </c>
      <c r="BN28" s="8">
        <f t="shared" si="32"/>
        <v>0.92481942108075976</v>
      </c>
      <c r="BO28" s="9">
        <f t="shared" si="33"/>
        <v>7.4819421080759785E-2</v>
      </c>
      <c r="BP28" s="10">
        <f t="shared" si="34"/>
        <v>-0.92043939937213171</v>
      </c>
      <c r="BQ28" s="10">
        <f t="shared" si="35"/>
        <v>0.93128663454845273</v>
      </c>
    </row>
    <row r="29" spans="2:69">
      <c r="B29">
        <f t="shared" si="36"/>
        <v>2600</v>
      </c>
      <c r="C29">
        <f t="shared" si="46"/>
        <v>150.40000000000015</v>
      </c>
      <c r="D29">
        <f t="shared" si="0"/>
        <v>610.40000000000009</v>
      </c>
      <c r="E29">
        <f t="shared" si="37"/>
        <v>610.00000000000011</v>
      </c>
      <c r="F29">
        <f t="shared" si="47"/>
        <v>656.54385938177313</v>
      </c>
      <c r="G29">
        <f t="shared" si="38"/>
        <v>650.49226376270667</v>
      </c>
      <c r="H29">
        <f t="shared" si="1"/>
        <v>0.93039930842286145</v>
      </c>
      <c r="I29">
        <f t="shared" si="39"/>
        <v>0.93084297148565709</v>
      </c>
      <c r="K29">
        <f t="shared" si="40"/>
        <v>-7.675457285664886E-3</v>
      </c>
      <c r="L29">
        <f t="shared" si="41"/>
        <v>4.3800237633290079E-3</v>
      </c>
      <c r="M29">
        <f t="shared" si="48"/>
        <v>606614710.91146743</v>
      </c>
      <c r="N29">
        <f t="shared" si="49"/>
        <v>446920.65552864171</v>
      </c>
      <c r="O29">
        <f t="shared" si="50"/>
        <v>668.52124538315286</v>
      </c>
      <c r="Q29" s="2">
        <f t="shared" si="42"/>
        <v>2.028812769934488</v>
      </c>
      <c r="R29" s="2">
        <f t="shared" si="2"/>
        <v>3.2513025159206538E-2</v>
      </c>
      <c r="W29" s="2">
        <f t="shared" si="3"/>
        <v>146005.49405809227</v>
      </c>
      <c r="X29" s="2">
        <f t="shared" si="43"/>
        <v>1182.2754300000001</v>
      </c>
      <c r="Y29" s="2">
        <f t="shared" si="4"/>
        <v>123.495329728786</v>
      </c>
      <c r="Z29" s="2">
        <f t="shared" si="44"/>
        <v>5.2539892600720837</v>
      </c>
      <c r="AA29" s="2">
        <f t="shared" si="5"/>
        <v>1.2785127885599687</v>
      </c>
      <c r="AB29" s="2">
        <f t="shared" si="6"/>
        <v>1.0679984698095224</v>
      </c>
      <c r="AC29" s="2">
        <f t="shared" si="7"/>
        <v>1.3189282317896588E-2</v>
      </c>
      <c r="AD29" s="2">
        <f t="shared" si="8"/>
        <v>3983097.3464731285</v>
      </c>
      <c r="AI29">
        <f t="shared" si="9"/>
        <v>1.2666524468620684E-6</v>
      </c>
      <c r="AK29">
        <f t="shared" si="10"/>
        <v>6.9109745308758026E-6</v>
      </c>
      <c r="AL29">
        <f t="shared" si="11"/>
        <v>-3.9959327210015627</v>
      </c>
      <c r="AM29">
        <f t="shared" si="12"/>
        <v>15.109766269494477</v>
      </c>
      <c r="AN29">
        <f t="shared" si="13"/>
        <v>228.30503671875303</v>
      </c>
      <c r="AO29">
        <f t="shared" si="14"/>
        <v>4.3801048560829225E-3</v>
      </c>
      <c r="AQ29" s="3">
        <f t="shared" si="45"/>
        <v>150.40000000000015</v>
      </c>
      <c r="AR29" s="3">
        <f t="shared" si="15"/>
        <v>610.40000000000009</v>
      </c>
      <c r="AS29">
        <f t="shared" si="51"/>
        <v>656.54385938177313</v>
      </c>
      <c r="AV29" s="3">
        <f t="shared" si="16"/>
        <v>1.6277333333333335</v>
      </c>
      <c r="AW29" s="3">
        <f t="shared" si="17"/>
        <v>0.9784558262023445</v>
      </c>
      <c r="AX29" s="4">
        <v>0.8</v>
      </c>
      <c r="AY29" s="5">
        <f t="shared" si="18"/>
        <v>0.20287649984229061</v>
      </c>
      <c r="AZ29" s="5">
        <f t="shared" si="19"/>
        <v>-9.2701969729680214E-2</v>
      </c>
      <c r="BA29" s="5">
        <f t="shared" si="20"/>
        <v>6.7860146694569291E-3</v>
      </c>
      <c r="BB29" s="5">
        <f t="shared" si="21"/>
        <v>-1.3886649923966455E-5</v>
      </c>
      <c r="BC29" s="5">
        <f t="shared" si="22"/>
        <v>6.0277868500751616E-3</v>
      </c>
      <c r="BD29" s="5">
        <f t="shared" si="23"/>
        <v>0.97076044734598488</v>
      </c>
      <c r="BE29" s="6">
        <f t="shared" si="24"/>
        <v>0.91994946864878591</v>
      </c>
      <c r="BF29" s="7">
        <f t="shared" si="25"/>
        <v>0.11994946864878586</v>
      </c>
      <c r="BG29" s="5">
        <v>0.85</v>
      </c>
      <c r="BH29" s="5">
        <f t="shared" si="26"/>
        <v>0.19094258808686179</v>
      </c>
      <c r="BI29" s="5">
        <f t="shared" si="27"/>
        <v>-8.7248912686757871E-2</v>
      </c>
      <c r="BJ29" s="5">
        <f t="shared" si="28"/>
        <v>6.0111410220794964E-3</v>
      </c>
      <c r="BK29" s="5">
        <f t="shared" si="29"/>
        <v>-1.0255404474304853E-5</v>
      </c>
      <c r="BL29" s="5">
        <f t="shared" si="30"/>
        <v>5.3219211224397444E-3</v>
      </c>
      <c r="BM29" s="5">
        <f t="shared" si="31"/>
        <v>0.97405550445232214</v>
      </c>
      <c r="BN29" s="8">
        <f t="shared" si="32"/>
        <v>0.92395633030336943</v>
      </c>
      <c r="BO29" s="9">
        <f t="shared" si="33"/>
        <v>7.3956330303369455E-2</v>
      </c>
      <c r="BP29" s="10">
        <f t="shared" si="34"/>
        <v>-0.91986276690832935</v>
      </c>
      <c r="BQ29" s="10">
        <f t="shared" si="35"/>
        <v>0.93039930842286145</v>
      </c>
    </row>
    <row r="30" spans="2:69">
      <c r="B30">
        <f t="shared" si="36"/>
        <v>2800</v>
      </c>
      <c r="C30">
        <f t="shared" si="46"/>
        <v>151.20000000000016</v>
      </c>
      <c r="D30">
        <f t="shared" si="0"/>
        <v>611.20000000000016</v>
      </c>
      <c r="E30">
        <f t="shared" si="37"/>
        <v>610.80000000000018</v>
      </c>
      <c r="F30">
        <f t="shared" si="47"/>
        <v>668.52124538315286</v>
      </c>
      <c r="G30">
        <f t="shared" si="38"/>
        <v>662.532552382463</v>
      </c>
      <c r="H30">
        <f t="shared" si="1"/>
        <v>0.92953964139606393</v>
      </c>
      <c r="I30">
        <f t="shared" si="39"/>
        <v>0.92996947490946269</v>
      </c>
      <c r="K30">
        <f t="shared" si="40"/>
        <v>-7.6726042149034964E-3</v>
      </c>
      <c r="L30">
        <f t="shared" si="41"/>
        <v>4.3801048560829225E-3</v>
      </c>
      <c r="M30">
        <f t="shared" si="48"/>
        <v>607077175.54461265</v>
      </c>
      <c r="N30">
        <f t="shared" si="49"/>
        <v>462917.35239572718</v>
      </c>
      <c r="O30">
        <f t="shared" si="50"/>
        <v>680.38029982924047</v>
      </c>
      <c r="Q30" s="2">
        <f t="shared" si="42"/>
        <v>2.0650286544272127</v>
      </c>
      <c r="R30" s="2">
        <f t="shared" si="2"/>
        <v>3.3093407923513028E-2</v>
      </c>
      <c r="W30" s="2">
        <f t="shared" si="3"/>
        <v>146292.62378855873</v>
      </c>
      <c r="X30" s="2">
        <f t="shared" si="43"/>
        <v>1183.0754300000003</v>
      </c>
      <c r="Y30" s="2">
        <f t="shared" si="4"/>
        <v>123.65451946589634</v>
      </c>
      <c r="Z30" s="2">
        <f t="shared" si="44"/>
        <v>5.2518740905497374</v>
      </c>
      <c r="AA30" s="2">
        <f t="shared" si="5"/>
        <v>1.2789832022617384</v>
      </c>
      <c r="AB30" s="2">
        <f t="shared" si="6"/>
        <v>1.0694629163621752</v>
      </c>
      <c r="AC30" s="2">
        <f t="shared" si="7"/>
        <v>1.3224392300936087E-2</v>
      </c>
      <c r="AD30" s="2">
        <f t="shared" si="8"/>
        <v>3972522.4575030357</v>
      </c>
      <c r="AI30">
        <f t="shared" si="9"/>
        <v>1.2700242865766468E-6</v>
      </c>
      <c r="AK30">
        <f t="shared" si="10"/>
        <v>6.9274947040104562E-6</v>
      </c>
      <c r="AL30">
        <f t="shared" si="11"/>
        <v>-3.9958616494019052</v>
      </c>
      <c r="AM30">
        <f t="shared" si="12"/>
        <v>15.109627006946834</v>
      </c>
      <c r="AN30">
        <f t="shared" si="13"/>
        <v>228.30082828905714</v>
      </c>
      <c r="AO30">
        <f t="shared" si="14"/>
        <v>4.380185597635573E-3</v>
      </c>
      <c r="AQ30" s="3">
        <f t="shared" si="45"/>
        <v>151.20000000000016</v>
      </c>
      <c r="AR30" s="3">
        <f t="shared" si="15"/>
        <v>611.20000000000016</v>
      </c>
      <c r="AS30">
        <f t="shared" si="51"/>
        <v>668.52124538315286</v>
      </c>
      <c r="AV30" s="3">
        <f t="shared" si="16"/>
        <v>1.629866666666667</v>
      </c>
      <c r="AW30" s="3">
        <f t="shared" si="17"/>
        <v>0.99630587985566743</v>
      </c>
      <c r="AX30" s="4">
        <v>0.8</v>
      </c>
      <c r="AY30" s="5">
        <f t="shared" si="18"/>
        <v>0.2063072037291114</v>
      </c>
      <c r="AZ30" s="5">
        <f t="shared" si="19"/>
        <v>-9.3988243805292748E-2</v>
      </c>
      <c r="BA30" s="5">
        <f t="shared" si="20"/>
        <v>7.0349063654279341E-3</v>
      </c>
      <c r="BB30" s="5">
        <f t="shared" si="21"/>
        <v>-1.5084999420829739E-5</v>
      </c>
      <c r="BC30" s="5">
        <f t="shared" si="22"/>
        <v>6.2150325601147798E-3</v>
      </c>
      <c r="BD30" s="5">
        <f t="shared" si="23"/>
        <v>0.96977840743487209</v>
      </c>
      <c r="BE30" s="6">
        <f t="shared" si="24"/>
        <v>0.91908895193785989</v>
      </c>
      <c r="BF30" s="7">
        <f t="shared" si="25"/>
        <v>0.11908895193785984</v>
      </c>
      <c r="BG30" s="5">
        <v>0.85</v>
      </c>
      <c r="BH30" s="5">
        <f t="shared" si="26"/>
        <v>0.19417148586269312</v>
      </c>
      <c r="BI30" s="5">
        <f t="shared" si="27"/>
        <v>-8.8459523581452024E-2</v>
      </c>
      <c r="BJ30" s="5">
        <f t="shared" si="28"/>
        <v>6.2316125589949893E-3</v>
      </c>
      <c r="BK30" s="5">
        <f t="shared" si="29"/>
        <v>-1.1140395372700193E-5</v>
      </c>
      <c r="BL30" s="5">
        <f t="shared" si="30"/>
        <v>5.486640460491801E-3</v>
      </c>
      <c r="BM30" s="5">
        <f t="shared" si="31"/>
        <v>0.97318259743496294</v>
      </c>
      <c r="BN30" s="8">
        <f t="shared" si="32"/>
        <v>0.9231227323874488</v>
      </c>
      <c r="BO30" s="9">
        <f t="shared" si="33"/>
        <v>7.3122732387448819E-2</v>
      </c>
      <c r="BP30" s="10">
        <f t="shared" si="34"/>
        <v>-0.91932439100822172</v>
      </c>
      <c r="BQ30" s="10">
        <f t="shared" si="35"/>
        <v>0.92953964139606393</v>
      </c>
    </row>
    <row r="31" spans="2:69">
      <c r="B31">
        <f t="shared" si="36"/>
        <v>3000</v>
      </c>
      <c r="C31">
        <f t="shared" si="46"/>
        <v>152.00000000000017</v>
      </c>
      <c r="D31">
        <f t="shared" si="0"/>
        <v>612.00000000000023</v>
      </c>
      <c r="E31">
        <f t="shared" si="37"/>
        <v>611.60000000000014</v>
      </c>
      <c r="F31">
        <f t="shared" si="47"/>
        <v>680.38029982924047</v>
      </c>
      <c r="G31">
        <f t="shared" si="38"/>
        <v>674.45077260619667</v>
      </c>
      <c r="H31">
        <f t="shared" si="1"/>
        <v>0.92870654011756915</v>
      </c>
      <c r="I31">
        <f t="shared" si="39"/>
        <v>0.92912309075681654</v>
      </c>
      <c r="K31">
        <f t="shared" si="40"/>
        <v>-7.669548319434929E-3</v>
      </c>
      <c r="L31">
        <f t="shared" si="41"/>
        <v>4.380185597635573E-3</v>
      </c>
      <c r="M31">
        <f t="shared" si="48"/>
        <v>607572245.61602986</v>
      </c>
      <c r="N31">
        <f t="shared" si="49"/>
        <v>479041.04669542413</v>
      </c>
      <c r="O31">
        <f t="shared" si="50"/>
        <v>692.1279120909835</v>
      </c>
      <c r="Q31" s="2">
        <f t="shared" si="42"/>
        <v>2.1007962527198827</v>
      </c>
      <c r="R31" s="2">
        <f t="shared" si="2"/>
        <v>3.3666606614100682E-2</v>
      </c>
      <c r="W31" s="2">
        <f t="shared" si="3"/>
        <v>146579.94149269527</v>
      </c>
      <c r="X31" s="2">
        <f t="shared" si="43"/>
        <v>1183.8754300000003</v>
      </c>
      <c r="Y31" s="2">
        <f t="shared" si="4"/>
        <v>123.81365283735573</v>
      </c>
      <c r="Z31" s="2">
        <f t="shared" si="44"/>
        <v>5.2497644508823518</v>
      </c>
      <c r="AA31" s="2">
        <f t="shared" si="5"/>
        <v>1.279452386123765</v>
      </c>
      <c r="AB31" s="2">
        <f t="shared" si="6"/>
        <v>1.0709126073090429</v>
      </c>
      <c r="AC31" s="2">
        <f t="shared" si="7"/>
        <v>1.3259360178050931E-2</v>
      </c>
      <c r="AD31" s="2">
        <f t="shared" si="8"/>
        <v>3962046.0336587033</v>
      </c>
      <c r="AI31">
        <f t="shared" si="9"/>
        <v>1.2733824789362862E-6</v>
      </c>
      <c r="AK31">
        <f t="shared" si="10"/>
        <v>6.9439435708916919E-6</v>
      </c>
      <c r="AL31">
        <f t="shared" si="11"/>
        <v>-3.9957908961232573</v>
      </c>
      <c r="AM31">
        <f t="shared" si="12"/>
        <v>15.109488323703209</v>
      </c>
      <c r="AN31">
        <f t="shared" si="13"/>
        <v>228.2966374041236</v>
      </c>
      <c r="AO31">
        <f t="shared" si="14"/>
        <v>4.3802660055383604E-3</v>
      </c>
      <c r="AQ31" s="3">
        <f t="shared" si="45"/>
        <v>152.00000000000017</v>
      </c>
      <c r="AR31" s="3">
        <f t="shared" si="15"/>
        <v>612.00000000000023</v>
      </c>
      <c r="AS31">
        <f t="shared" si="51"/>
        <v>680.38029982924047</v>
      </c>
      <c r="AV31" s="3">
        <f t="shared" si="16"/>
        <v>1.6320000000000006</v>
      </c>
      <c r="AW31" s="3">
        <f t="shared" si="17"/>
        <v>1.0139795824578846</v>
      </c>
      <c r="AX31" s="4">
        <v>0.8</v>
      </c>
      <c r="AY31" s="5">
        <f t="shared" si="18"/>
        <v>0.20969246879873524</v>
      </c>
      <c r="AZ31" s="5">
        <f t="shared" si="19"/>
        <v>-9.5245557785629958E-2</v>
      </c>
      <c r="BA31" s="5">
        <f t="shared" si="20"/>
        <v>7.2856545348037116E-3</v>
      </c>
      <c r="BB31" s="5">
        <f t="shared" si="21"/>
        <v>-1.6346414698823305E-5</v>
      </c>
      <c r="BC31" s="5">
        <f t="shared" si="22"/>
        <v>6.4018233327471407E-3</v>
      </c>
      <c r="BD31" s="5">
        <f t="shared" si="23"/>
        <v>0.96879423096114126</v>
      </c>
      <c r="BE31" s="6">
        <f t="shared" si="24"/>
        <v>0.91825849267627047</v>
      </c>
      <c r="BF31" s="7">
        <f t="shared" si="25"/>
        <v>0.11825849267627042</v>
      </c>
      <c r="BG31" s="5">
        <v>0.85</v>
      </c>
      <c r="BH31" s="5">
        <f t="shared" si="26"/>
        <v>0.19735761769292731</v>
      </c>
      <c r="BI31" s="5">
        <f t="shared" si="27"/>
        <v>-8.9642877915887043E-2</v>
      </c>
      <c r="BJ31" s="5">
        <f t="shared" si="28"/>
        <v>6.4537285844628051E-3</v>
      </c>
      <c r="BK31" s="5">
        <f t="shared" si="29"/>
        <v>-1.2071960865941682E-5</v>
      </c>
      <c r="BL31" s="5">
        <f t="shared" si="30"/>
        <v>5.6509213440384164E-3</v>
      </c>
      <c r="BM31" s="5">
        <f t="shared" si="31"/>
        <v>0.97230769001823447</v>
      </c>
      <c r="BN31" s="8">
        <f t="shared" si="32"/>
        <v>0.92231735690793837</v>
      </c>
      <c r="BO31" s="9">
        <f t="shared" si="33"/>
        <v>7.231735690793839E-2</v>
      </c>
      <c r="BP31" s="10">
        <f t="shared" si="34"/>
        <v>-0.91882271536664184</v>
      </c>
      <c r="BQ31" s="10">
        <f t="shared" si="35"/>
        <v>0.92870654011756915</v>
      </c>
    </row>
    <row r="32" spans="2:69">
      <c r="B32">
        <f t="shared" si="36"/>
        <v>3200</v>
      </c>
      <c r="C32">
        <f t="shared" si="46"/>
        <v>152.80000000000018</v>
      </c>
      <c r="D32">
        <f t="shared" si="0"/>
        <v>612.80000000000018</v>
      </c>
      <c r="E32">
        <f t="shared" si="37"/>
        <v>612.4000000000002</v>
      </c>
      <c r="F32">
        <f t="shared" si="47"/>
        <v>692.1279120909835</v>
      </c>
      <c r="G32">
        <f t="shared" si="38"/>
        <v>686.25410596011193</v>
      </c>
      <c r="H32">
        <f t="shared" si="1"/>
        <v>0.92789899105314766</v>
      </c>
      <c r="I32">
        <f t="shared" si="39"/>
        <v>0.9283027655853584</v>
      </c>
      <c r="K32">
        <f t="shared" si="40"/>
        <v>-7.6662979086273416E-3</v>
      </c>
      <c r="L32">
        <f t="shared" si="41"/>
        <v>4.3802660055383604E-3</v>
      </c>
      <c r="M32">
        <f t="shared" si="48"/>
        <v>608098723.10778594</v>
      </c>
      <c r="N32">
        <f t="shared" si="49"/>
        <v>495292.84416164155</v>
      </c>
      <c r="O32">
        <f t="shared" si="50"/>
        <v>703.77044848561354</v>
      </c>
      <c r="Q32" s="2">
        <f t="shared" si="42"/>
        <v>2.1361366658400174</v>
      </c>
      <c r="R32" s="2">
        <f t="shared" si="2"/>
        <v>3.4232959388461819E-2</v>
      </c>
      <c r="W32" s="2">
        <f t="shared" si="3"/>
        <v>146867.44704760396</v>
      </c>
      <c r="X32" s="2">
        <f t="shared" si="43"/>
        <v>1184.6754300000002</v>
      </c>
      <c r="Y32" s="2">
        <f t="shared" si="4"/>
        <v>123.97272985361394</v>
      </c>
      <c r="Z32" s="2">
        <f t="shared" si="44"/>
        <v>5.2476603194125317</v>
      </c>
      <c r="AA32" s="2">
        <f t="shared" si="5"/>
        <v>1.2799203449626531</v>
      </c>
      <c r="AB32" s="2">
        <f t="shared" si="6"/>
        <v>1.0723481679521294</v>
      </c>
      <c r="AC32" s="2">
        <f t="shared" si="7"/>
        <v>1.3294192973454716E-2</v>
      </c>
      <c r="AD32" s="2">
        <f t="shared" si="8"/>
        <v>3951664.8740692209</v>
      </c>
      <c r="AI32">
        <f t="shared" si="9"/>
        <v>1.2767276985218418E-6</v>
      </c>
      <c r="AK32">
        <f t="shared" si="10"/>
        <v>6.9603245012204411E-6</v>
      </c>
      <c r="AL32">
        <f t="shared" si="11"/>
        <v>-3.9957204465210312</v>
      </c>
      <c r="AM32">
        <f t="shared" si="12"/>
        <v>15.109350191714654</v>
      </c>
      <c r="AN32">
        <f t="shared" si="13"/>
        <v>228.29246321586766</v>
      </c>
      <c r="AO32">
        <f t="shared" si="14"/>
        <v>4.380346096026941E-3</v>
      </c>
      <c r="AQ32" s="3">
        <f t="shared" si="45"/>
        <v>152.80000000000018</v>
      </c>
      <c r="AR32" s="3">
        <f t="shared" si="15"/>
        <v>612.80000000000018</v>
      </c>
      <c r="AS32">
        <f t="shared" si="51"/>
        <v>692.1279120909835</v>
      </c>
      <c r="AV32" s="3">
        <f t="shared" si="16"/>
        <v>1.6341333333333339</v>
      </c>
      <c r="AW32" s="3">
        <f t="shared" si="17"/>
        <v>1.0314872013278442</v>
      </c>
      <c r="AX32" s="4">
        <v>0.8</v>
      </c>
      <c r="AY32" s="5">
        <f t="shared" si="18"/>
        <v>0.21303459353468546</v>
      </c>
      <c r="AZ32" s="5">
        <f t="shared" si="19"/>
        <v>-9.6475182232176465E-2</v>
      </c>
      <c r="BA32" s="5">
        <f t="shared" si="20"/>
        <v>7.5382706223430535E-3</v>
      </c>
      <c r="BB32" s="5">
        <f t="shared" si="21"/>
        <v>-1.767235675728136E-5</v>
      </c>
      <c r="BC32" s="5">
        <f t="shared" si="22"/>
        <v>6.5881709691778109E-3</v>
      </c>
      <c r="BD32" s="5">
        <f t="shared" si="23"/>
        <v>0.9678078871127066</v>
      </c>
      <c r="BE32" s="6">
        <f t="shared" si="24"/>
        <v>0.91745684457254117</v>
      </c>
      <c r="BF32" s="7">
        <f t="shared" si="25"/>
        <v>0.11745684457254113</v>
      </c>
      <c r="BG32" s="5">
        <v>0.85</v>
      </c>
      <c r="BH32" s="5">
        <f t="shared" si="26"/>
        <v>0.20050314685617457</v>
      </c>
      <c r="BI32" s="5">
        <f t="shared" si="27"/>
        <v>-9.0800171512636682E-2</v>
      </c>
      <c r="BJ32" s="5">
        <f t="shared" si="28"/>
        <v>6.6774992364007687E-3</v>
      </c>
      <c r="BK32" s="5">
        <f t="shared" si="29"/>
        <v>-1.305117991397942E-5</v>
      </c>
      <c r="BL32" s="5">
        <f t="shared" si="30"/>
        <v>5.8147742376191544E-3</v>
      </c>
      <c r="BM32" s="5">
        <f t="shared" si="31"/>
        <v>0.97143075403082013</v>
      </c>
      <c r="BN32" s="8">
        <f t="shared" si="32"/>
        <v>0.92153902942584753</v>
      </c>
      <c r="BO32" s="9">
        <f t="shared" si="33"/>
        <v>7.1539029425847556E-2</v>
      </c>
      <c r="BP32" s="10">
        <f t="shared" si="34"/>
        <v>-0.91835630293387271</v>
      </c>
      <c r="BQ32" s="10">
        <f t="shared" si="35"/>
        <v>0.92789899105314766</v>
      </c>
    </row>
    <row r="33" spans="2:69">
      <c r="B33">
        <f t="shared" si="36"/>
        <v>3400</v>
      </c>
      <c r="C33">
        <f t="shared" si="46"/>
        <v>153.60000000000019</v>
      </c>
      <c r="D33">
        <f t="shared" si="0"/>
        <v>613.60000000000014</v>
      </c>
      <c r="E33">
        <f t="shared" si="37"/>
        <v>613.20000000000016</v>
      </c>
      <c r="F33">
        <f t="shared" si="47"/>
        <v>703.77044848561354</v>
      </c>
      <c r="G33">
        <f t="shared" si="38"/>
        <v>697.94918028829852</v>
      </c>
      <c r="H33">
        <f t="shared" si="1"/>
        <v>0.92711605234628869</v>
      </c>
      <c r="I33">
        <f t="shared" si="39"/>
        <v>0.92750752169971817</v>
      </c>
      <c r="K33">
        <f t="shared" si="40"/>
        <v>-7.6628607149313802E-3</v>
      </c>
      <c r="L33">
        <f t="shared" si="41"/>
        <v>4.380346096026941E-3</v>
      </c>
      <c r="M33">
        <f t="shared" si="48"/>
        <v>608655502.29288232</v>
      </c>
      <c r="N33">
        <f t="shared" si="49"/>
        <v>511673.84040506801</v>
      </c>
      <c r="O33">
        <f t="shared" si="50"/>
        <v>715.31380554625673</v>
      </c>
      <c r="Q33" s="2">
        <f t="shared" si="42"/>
        <v>2.1710693939357868</v>
      </c>
      <c r="R33" s="2">
        <f t="shared" si="2"/>
        <v>3.4792778748970944E-2</v>
      </c>
      <c r="W33" s="2">
        <f t="shared" si="3"/>
        <v>147155.1403306259</v>
      </c>
      <c r="X33" s="2">
        <f t="shared" si="43"/>
        <v>1185.4754300000002</v>
      </c>
      <c r="Y33" s="2">
        <f t="shared" si="4"/>
        <v>124.13175052529421</v>
      </c>
      <c r="Z33" s="2">
        <f t="shared" si="44"/>
        <v>5.2455616745958267</v>
      </c>
      <c r="AA33" s="2">
        <f t="shared" si="5"/>
        <v>1.2803870835698883</v>
      </c>
      <c r="AB33" s="2">
        <f t="shared" si="6"/>
        <v>1.0737701790842413</v>
      </c>
      <c r="AC33" s="2">
        <f t="shared" si="7"/>
        <v>1.3328897199158554E-2</v>
      </c>
      <c r="AD33" s="2">
        <f t="shared" si="8"/>
        <v>3941375.9906269894</v>
      </c>
      <c r="AI33">
        <f t="shared" si="9"/>
        <v>1.2800605707240369E-6</v>
      </c>
      <c r="AK33">
        <f t="shared" si="10"/>
        <v>6.9766406198089117E-6</v>
      </c>
      <c r="AL33">
        <f t="shared" si="11"/>
        <v>-3.9956502870136861</v>
      </c>
      <c r="AM33">
        <f t="shared" si="12"/>
        <v>15.109212584976389</v>
      </c>
      <c r="AN33">
        <f t="shared" si="13"/>
        <v>228.28830493800888</v>
      </c>
      <c r="AO33">
        <f t="shared" si="14"/>
        <v>4.3804258841535814E-3</v>
      </c>
      <c r="AQ33" s="3">
        <f t="shared" si="45"/>
        <v>153.60000000000019</v>
      </c>
      <c r="AR33" s="3">
        <f t="shared" si="15"/>
        <v>613.60000000000014</v>
      </c>
      <c r="AS33">
        <f t="shared" si="51"/>
        <v>703.77044848561354</v>
      </c>
      <c r="AV33" s="3">
        <f t="shared" si="16"/>
        <v>1.636266666666667</v>
      </c>
      <c r="AW33" s="3">
        <f t="shared" si="17"/>
        <v>1.0488382242706611</v>
      </c>
      <c r="AX33" s="4">
        <v>0.8</v>
      </c>
      <c r="AY33" s="5">
        <f t="shared" si="18"/>
        <v>0.21633570364937341</v>
      </c>
      <c r="AZ33" s="5">
        <f t="shared" si="19"/>
        <v>-9.767829563675115E-2</v>
      </c>
      <c r="BA33" s="5">
        <f t="shared" si="20"/>
        <v>7.7927658679357399E-3</v>
      </c>
      <c r="BB33" s="5">
        <f t="shared" si="21"/>
        <v>-1.9064293860975286E-5</v>
      </c>
      <c r="BC33" s="5">
        <f t="shared" si="22"/>
        <v>6.7740869229414259E-3</v>
      </c>
      <c r="BD33" s="5">
        <f t="shared" si="23"/>
        <v>0.966819346452511</v>
      </c>
      <c r="BE33" s="6">
        <f t="shared" si="24"/>
        <v>0.91668285281669637</v>
      </c>
      <c r="BF33" s="7">
        <f t="shared" si="25"/>
        <v>0.11668285281669633</v>
      </c>
      <c r="BG33" s="5">
        <v>0.85</v>
      </c>
      <c r="BH33" s="5">
        <f t="shared" si="26"/>
        <v>0.20361007402293968</v>
      </c>
      <c r="BI33" s="5">
        <f t="shared" si="27"/>
        <v>-9.1932513540471675E-2</v>
      </c>
      <c r="BJ33" s="5">
        <f t="shared" si="28"/>
        <v>6.9029344712510359E-3</v>
      </c>
      <c r="BK33" s="5">
        <f t="shared" si="29"/>
        <v>-1.4079136842348222E-5</v>
      </c>
      <c r="BL33" s="5">
        <f t="shared" si="30"/>
        <v>5.9782092937520443E-3</v>
      </c>
      <c r="BM33" s="5">
        <f t="shared" si="31"/>
        <v>0.97055176250815356</v>
      </c>
      <c r="BN33" s="8">
        <f t="shared" si="32"/>
        <v>0.92078666163431533</v>
      </c>
      <c r="BO33" s="9">
        <f t="shared" si="33"/>
        <v>7.0786661634315351E-2</v>
      </c>
      <c r="BP33" s="10">
        <f t="shared" si="34"/>
        <v>-0.91792382364762071</v>
      </c>
      <c r="BQ33" s="10">
        <f t="shared" si="35"/>
        <v>0.92711605234628869</v>
      </c>
    </row>
    <row r="34" spans="2:69">
      <c r="B34">
        <f t="shared" si="36"/>
        <v>3600</v>
      </c>
      <c r="C34">
        <f t="shared" si="46"/>
        <v>154.4000000000002</v>
      </c>
      <c r="D34">
        <f t="shared" si="0"/>
        <v>614.4000000000002</v>
      </c>
      <c r="E34">
        <f t="shared" si="37"/>
        <v>614.00000000000023</v>
      </c>
      <c r="F34">
        <f t="shared" si="47"/>
        <v>715.31380554625673</v>
      </c>
      <c r="G34">
        <f t="shared" si="38"/>
        <v>709.54212701593519</v>
      </c>
      <c r="H34">
        <f t="shared" si="1"/>
        <v>0.92635684672366114</v>
      </c>
      <c r="I34">
        <f t="shared" si="39"/>
        <v>0.92673644953497492</v>
      </c>
      <c r="K34">
        <f t="shared" si="40"/>
        <v>-7.659243951449418E-3</v>
      </c>
      <c r="L34">
        <f t="shared" si="41"/>
        <v>4.3804258841535814E-3</v>
      </c>
      <c r="M34">
        <f t="shared" si="48"/>
        <v>609241560.30301416</v>
      </c>
      <c r="N34">
        <f t="shared" si="49"/>
        <v>528185.12176054984</v>
      </c>
      <c r="O34">
        <f t="shared" si="50"/>
        <v>726.76345653902399</v>
      </c>
      <c r="Q34" s="2">
        <f t="shared" si="42"/>
        <v>2.2056124985279286</v>
      </c>
      <c r="R34" s="2">
        <f t="shared" si="2"/>
        <v>3.5346354143075777E-2</v>
      </c>
      <c r="W34" s="2">
        <f t="shared" si="3"/>
        <v>147443.02121934353</v>
      </c>
      <c r="X34" s="2">
        <f t="shared" si="43"/>
        <v>1186.2754300000001</v>
      </c>
      <c r="Y34" s="2">
        <f t="shared" si="4"/>
        <v>124.29071486319455</v>
      </c>
      <c r="Z34" s="2">
        <f t="shared" si="44"/>
        <v>5.2434684949999992</v>
      </c>
      <c r="AA34" s="2">
        <f t="shared" si="5"/>
        <v>1.2808526067120003</v>
      </c>
      <c r="AB34" s="2">
        <f t="shared" si="6"/>
        <v>1.0751791813029106</v>
      </c>
      <c r="AC34" s="2">
        <f t="shared" si="7"/>
        <v>1.3363478905016301E-2</v>
      </c>
      <c r="AD34" s="2">
        <f t="shared" si="8"/>
        <v>3931176.5877505811</v>
      </c>
      <c r="AI34">
        <f t="shared" si="9"/>
        <v>1.2833816765496315E-6</v>
      </c>
      <c r="AK34">
        <f t="shared" si="10"/>
        <v>6.9928948304824976E-6</v>
      </c>
      <c r="AL34">
        <f t="shared" si="11"/>
        <v>-3.995580404979028</v>
      </c>
      <c r="AM34">
        <f t="shared" si="12"/>
        <v>15.109075479328158</v>
      </c>
      <c r="AN34">
        <f t="shared" si="13"/>
        <v>228.28416184003541</v>
      </c>
      <c r="AO34">
        <f t="shared" si="14"/>
        <v>4.3805053839027419E-3</v>
      </c>
      <c r="AQ34" s="3">
        <f t="shared" si="45"/>
        <v>154.4000000000002</v>
      </c>
      <c r="AR34" s="3">
        <f t="shared" si="15"/>
        <v>614.4000000000002</v>
      </c>
      <c r="AS34">
        <f t="shared" si="51"/>
        <v>715.31380554625673</v>
      </c>
      <c r="AV34" s="3">
        <f t="shared" si="16"/>
        <v>1.6384000000000005</v>
      </c>
      <c r="AW34" s="3">
        <f t="shared" si="17"/>
        <v>1.0660414389661055</v>
      </c>
      <c r="AX34" s="4">
        <v>0.8</v>
      </c>
      <c r="AY34" s="5">
        <f t="shared" si="18"/>
        <v>0.21959776956241484</v>
      </c>
      <c r="AZ34" s="5">
        <f t="shared" si="19"/>
        <v>-9.8855993577450341E-2</v>
      </c>
      <c r="BA34" s="5">
        <f t="shared" si="20"/>
        <v>8.0491513209787167E-3</v>
      </c>
      <c r="BB34" s="5">
        <f t="shared" si="21"/>
        <v>-2.0523702095578822E-5</v>
      </c>
      <c r="BC34" s="5">
        <f t="shared" si="22"/>
        <v>6.9595823199457719E-3</v>
      </c>
      <c r="BD34" s="5">
        <f t="shared" si="23"/>
        <v>0.96582858083679846</v>
      </c>
      <c r="BE34" s="6">
        <f t="shared" si="24"/>
        <v>0.91593544496091406</v>
      </c>
      <c r="BF34" s="7">
        <f t="shared" si="25"/>
        <v>0.11593544496091401</v>
      </c>
      <c r="BG34" s="5">
        <v>0.85</v>
      </c>
      <c r="BH34" s="5">
        <f t="shared" si="26"/>
        <v>0.20668025370580223</v>
      </c>
      <c r="BI34" s="5">
        <f t="shared" si="27"/>
        <v>-9.3040935131717989E-2</v>
      </c>
      <c r="BJ34" s="5">
        <f t="shared" si="28"/>
        <v>7.130044076714713E-3</v>
      </c>
      <c r="BK34" s="5">
        <f t="shared" si="29"/>
        <v>-1.5156921752383286E-5</v>
      </c>
      <c r="BL34" s="5">
        <f t="shared" si="30"/>
        <v>6.1412363708611114E-3</v>
      </c>
      <c r="BM34" s="5">
        <f t="shared" si="31"/>
        <v>0.96967068962032987</v>
      </c>
      <c r="BN34" s="8">
        <f t="shared" si="32"/>
        <v>0.9200592427736034</v>
      </c>
      <c r="BO34" s="9">
        <f t="shared" si="33"/>
        <v>7.0059242773603425E-2</v>
      </c>
      <c r="BP34" s="10">
        <f t="shared" si="34"/>
        <v>-0.91752404374621299</v>
      </c>
      <c r="BQ34" s="10">
        <f t="shared" si="35"/>
        <v>0.92635684672366114</v>
      </c>
    </row>
    <row r="35" spans="2:69">
      <c r="B35">
        <f t="shared" si="36"/>
        <v>3800</v>
      </c>
      <c r="C35">
        <f t="shared" si="46"/>
        <v>155.20000000000022</v>
      </c>
      <c r="D35">
        <f t="shared" si="0"/>
        <v>615.20000000000027</v>
      </c>
      <c r="E35">
        <f t="shared" si="37"/>
        <v>614.80000000000018</v>
      </c>
      <c r="F35">
        <f t="shared" si="47"/>
        <v>726.76345653902399</v>
      </c>
      <c r="G35">
        <f t="shared" si="38"/>
        <v>721.03863104264042</v>
      </c>
      <c r="H35">
        <f t="shared" si="1"/>
        <v>0.92562055528479648</v>
      </c>
      <c r="I35">
        <f t="shared" si="39"/>
        <v>0.92598870100422881</v>
      </c>
      <c r="K35">
        <f t="shared" si="40"/>
        <v>-7.655454362241465E-3</v>
      </c>
      <c r="L35">
        <f t="shared" si="41"/>
        <v>4.3805053839027419E-3</v>
      </c>
      <c r="M35">
        <f t="shared" si="48"/>
        <v>609855948.90080285</v>
      </c>
      <c r="N35">
        <f t="shared" si="49"/>
        <v>544827.76604909974</v>
      </c>
      <c r="O35">
        <f t="shared" si="50"/>
        <v>738.1244922430767</v>
      </c>
      <c r="Q35" s="2">
        <f t="shared" si="42"/>
        <v>2.2397827442666514</v>
      </c>
      <c r="R35" s="2">
        <f t="shared" si="2"/>
        <v>3.5893954235042491E-2</v>
      </c>
      <c r="W35" s="2">
        <f t="shared" si="3"/>
        <v>147731.08959157742</v>
      </c>
      <c r="X35" s="2">
        <f t="shared" si="43"/>
        <v>1187.0754300000003</v>
      </c>
      <c r="Y35" s="2">
        <f t="shared" si="4"/>
        <v>124.44962287828447</v>
      </c>
      <c r="Z35" s="2">
        <f t="shared" si="44"/>
        <v>5.24138075930429</v>
      </c>
      <c r="AA35" s="2">
        <f t="shared" si="5"/>
        <v>1.2813169191307261</v>
      </c>
      <c r="AB35" s="2">
        <f t="shared" si="6"/>
        <v>1.0765756787961436</v>
      </c>
      <c r="AC35" s="2">
        <f t="shared" si="7"/>
        <v>1.3397943722611319E-2</v>
      </c>
      <c r="AD35" s="2">
        <f t="shared" si="8"/>
        <v>3921064.0445995028</v>
      </c>
      <c r="AI35">
        <f t="shared" si="9"/>
        <v>1.2866915568361538E-6</v>
      </c>
      <c r="AK35">
        <f t="shared" si="10"/>
        <v>7.0090898370427089E-6</v>
      </c>
      <c r="AL35">
        <f t="shared" si="11"/>
        <v>-3.9955107886632462</v>
      </c>
      <c r="AM35">
        <f t="shared" si="12"/>
        <v>15.108938852279119</v>
      </c>
      <c r="AN35">
        <f t="shared" si="13"/>
        <v>228.28003324190945</v>
      </c>
      <c r="AO35">
        <f t="shared" si="14"/>
        <v>4.3805846082924614E-3</v>
      </c>
      <c r="AQ35" s="3">
        <f t="shared" si="45"/>
        <v>155.20000000000022</v>
      </c>
      <c r="AR35" s="3">
        <f t="shared" si="15"/>
        <v>615.20000000000027</v>
      </c>
      <c r="AS35">
        <f t="shared" si="51"/>
        <v>726.76345653902399</v>
      </c>
      <c r="AV35" s="3">
        <f t="shared" si="16"/>
        <v>1.6405333333333341</v>
      </c>
      <c r="AW35" s="3">
        <f t="shared" si="17"/>
        <v>1.0831050022936275</v>
      </c>
      <c r="AX35" s="4">
        <v>0.8</v>
      </c>
      <c r="AY35" s="5">
        <f t="shared" si="18"/>
        <v>0.22282262167228081</v>
      </c>
      <c r="AZ35" s="5">
        <f t="shared" si="19"/>
        <v>-0.10000929672983311</v>
      </c>
      <c r="BA35" s="5">
        <f t="shared" si="20"/>
        <v>8.3074378532339271E-3</v>
      </c>
      <c r="BB35" s="5">
        <f t="shared" si="21"/>
        <v>-2.2052065884783582E-5</v>
      </c>
      <c r="BC35" s="5">
        <f t="shared" si="22"/>
        <v>7.1446679766577498E-3</v>
      </c>
      <c r="BD35" s="5">
        <f t="shared" si="23"/>
        <v>0.96483556334134313</v>
      </c>
      <c r="BE35" s="6">
        <f t="shared" si="24"/>
        <v>0.91521362294143105</v>
      </c>
      <c r="BF35" s="7">
        <f t="shared" si="25"/>
        <v>0.115213622941431</v>
      </c>
      <c r="BG35" s="5">
        <v>0.85</v>
      </c>
      <c r="BH35" s="5">
        <f t="shared" si="26"/>
        <v>0.20971540863273491</v>
      </c>
      <c r="BI35" s="5">
        <f t="shared" si="27"/>
        <v>-9.4126396922195876E-2</v>
      </c>
      <c r="BJ35" s="5">
        <f t="shared" si="28"/>
        <v>7.358837683141474E-3</v>
      </c>
      <c r="BK35" s="5">
        <f t="shared" si="29"/>
        <v>-1.6285630903114085E-5</v>
      </c>
      <c r="BL35" s="5">
        <f t="shared" si="30"/>
        <v>6.3038650495481708E-3</v>
      </c>
      <c r="BM35" s="5">
        <f t="shared" si="31"/>
        <v>0.96878751060704782</v>
      </c>
      <c r="BN35" s="8">
        <f t="shared" si="32"/>
        <v>0.91935583212040328</v>
      </c>
      <c r="BO35" s="9">
        <f t="shared" si="33"/>
        <v>6.9355832120403305E-2</v>
      </c>
      <c r="BP35" s="10">
        <f t="shared" si="34"/>
        <v>-0.91715581642055521</v>
      </c>
      <c r="BQ35" s="10">
        <f t="shared" si="35"/>
        <v>0.92562055528479648</v>
      </c>
    </row>
    <row r="36" spans="2:69">
      <c r="B36">
        <f t="shared" si="36"/>
        <v>4000</v>
      </c>
      <c r="C36">
        <f t="shared" si="46"/>
        <v>156.00000000000023</v>
      </c>
      <c r="D36">
        <f t="shared" si="0"/>
        <v>616.00000000000023</v>
      </c>
      <c r="E36">
        <f t="shared" si="37"/>
        <v>615.60000000000025</v>
      </c>
      <c r="F36">
        <f t="shared" si="47"/>
        <v>738.1244922430767</v>
      </c>
      <c r="G36">
        <f t="shared" si="38"/>
        <v>732.44397439105035</v>
      </c>
      <c r="H36">
        <f t="shared" si="1"/>
        <v>0.92490641204441193</v>
      </c>
      <c r="I36">
        <f t="shared" si="39"/>
        <v>0.9252634836646042</v>
      </c>
      <c r="K36">
        <f t="shared" si="40"/>
        <v>-7.6514982664629798E-3</v>
      </c>
      <c r="L36">
        <f t="shared" si="41"/>
        <v>4.3805846082924614E-3</v>
      </c>
      <c r="M36">
        <f t="shared" si="48"/>
        <v>610497787.2734983</v>
      </c>
      <c r="N36">
        <f t="shared" si="49"/>
        <v>561602.84326503309</v>
      </c>
      <c r="O36">
        <f t="shared" si="50"/>
        <v>749.40165683365888</v>
      </c>
      <c r="Q36" s="2">
        <f t="shared" si="42"/>
        <v>2.2735957232690693</v>
      </c>
      <c r="R36" s="2">
        <f t="shared" si="2"/>
        <v>3.6435828898542778E-2</v>
      </c>
      <c r="W36" s="2">
        <f t="shared" si="3"/>
        <v>148019.34532538737</v>
      </c>
      <c r="X36" s="2">
        <f t="shared" si="43"/>
        <v>1187.8754300000003</v>
      </c>
      <c r="Y36" s="2">
        <f t="shared" si="4"/>
        <v>124.60847458170537</v>
      </c>
      <c r="Z36" s="2">
        <f t="shared" si="44"/>
        <v>5.2392984462987009</v>
      </c>
      <c r="AA36" s="2">
        <f t="shared" si="5"/>
        <v>1.2817800255431691</v>
      </c>
      <c r="AB36" s="2">
        <f t="shared" si="6"/>
        <v>1.0779601426773842</v>
      </c>
      <c r="AC36" s="2">
        <f t="shared" si="7"/>
        <v>1.3432296903890632E-2</v>
      </c>
      <c r="AD36" s="2">
        <f t="shared" si="8"/>
        <v>3911035.8993838537</v>
      </c>
      <c r="AI36">
        <f t="shared" si="9"/>
        <v>1.2899907159621888E-6</v>
      </c>
      <c r="AK36">
        <f t="shared" si="10"/>
        <v>7.0252281617229986E-6</v>
      </c>
      <c r="AL36">
        <f t="shared" si="11"/>
        <v>-3.9954414271008343</v>
      </c>
      <c r="AM36">
        <f t="shared" si="12"/>
        <v>15.1088026828537</v>
      </c>
      <c r="AN36">
        <f t="shared" si="13"/>
        <v>228.27591850940715</v>
      </c>
      <c r="AO36">
        <f t="shared" si="14"/>
        <v>4.3806635694635943E-3</v>
      </c>
      <c r="AQ36" s="3">
        <f t="shared" si="45"/>
        <v>156.00000000000023</v>
      </c>
      <c r="AR36" s="3">
        <f t="shared" si="15"/>
        <v>616.00000000000023</v>
      </c>
      <c r="AS36">
        <f t="shared" si="51"/>
        <v>738.1244922430767</v>
      </c>
      <c r="AV36" s="3">
        <f t="shared" si="16"/>
        <v>1.6426666666666672</v>
      </c>
      <c r="AW36" s="3">
        <f t="shared" si="17"/>
        <v>1.1000365011074169</v>
      </c>
      <c r="AX36" s="4">
        <v>0.8</v>
      </c>
      <c r="AY36" s="5">
        <f t="shared" si="18"/>
        <v>0.22601196375228477</v>
      </c>
      <c r="AZ36" s="5">
        <f t="shared" si="19"/>
        <v>-0.10113915790402099</v>
      </c>
      <c r="BA36" s="5">
        <f t="shared" si="20"/>
        <v>8.5676361703613743E-3</v>
      </c>
      <c r="BB36" s="5">
        <f t="shared" si="21"/>
        <v>-2.3650878472901246E-5</v>
      </c>
      <c r="BC36" s="5">
        <f t="shared" si="22"/>
        <v>7.3293544166579145E-3</v>
      </c>
      <c r="BD36" s="5">
        <f t="shared" si="23"/>
        <v>0.96384026819464774</v>
      </c>
      <c r="BE36" s="6">
        <f t="shared" si="24"/>
        <v>0.91451645607145848</v>
      </c>
      <c r="BF36" s="7">
        <f t="shared" si="25"/>
        <v>0.11451645607145844</v>
      </c>
      <c r="BG36" s="5">
        <v>0.85</v>
      </c>
      <c r="BH36" s="5">
        <f t="shared" si="26"/>
        <v>0.21271714235509154</v>
      </c>
      <c r="BI36" s="5">
        <f t="shared" si="27"/>
        <v>-9.518979567437269E-2</v>
      </c>
      <c r="BJ36" s="5">
        <f t="shared" si="28"/>
        <v>7.5893247737457148E-3</v>
      </c>
      <c r="BK36" s="5">
        <f t="shared" si="29"/>
        <v>-1.7466367067670119E-5</v>
      </c>
      <c r="BL36" s="5">
        <f t="shared" si="30"/>
        <v>6.4661046474107052E-3</v>
      </c>
      <c r="BM36" s="5">
        <f t="shared" si="31"/>
        <v>0.96790220171871078</v>
      </c>
      <c r="BN36" s="8">
        <f t="shared" si="32"/>
        <v>0.91867555239121312</v>
      </c>
      <c r="BO36" s="9">
        <f t="shared" si="33"/>
        <v>6.8675552391213146E-2</v>
      </c>
      <c r="BP36" s="10">
        <f t="shared" si="34"/>
        <v>-0.91681807360490708</v>
      </c>
      <c r="BQ36" s="10">
        <f t="shared" si="35"/>
        <v>0.92490641204441193</v>
      </c>
    </row>
    <row r="37" spans="2:69">
      <c r="B37">
        <f t="shared" si="36"/>
        <v>4200</v>
      </c>
      <c r="C37">
        <f t="shared" si="46"/>
        <v>156.80000000000024</v>
      </c>
      <c r="D37">
        <f t="shared" si="0"/>
        <v>616.80000000000018</v>
      </c>
      <c r="E37">
        <f t="shared" si="37"/>
        <v>616.4000000000002</v>
      </c>
      <c r="F37">
        <f t="shared" si="47"/>
        <v>749.40165683365888</v>
      </c>
      <c r="G37">
        <f t="shared" si="38"/>
        <v>743.76307453836785</v>
      </c>
      <c r="H37">
        <f t="shared" si="1"/>
        <v>0.92421369911835327</v>
      </c>
      <c r="I37">
        <f t="shared" si="39"/>
        <v>0.92456005558138266</v>
      </c>
      <c r="K37">
        <f t="shared" si="40"/>
        <v>-7.6473815972392719E-3</v>
      </c>
      <c r="L37">
        <f t="shared" si="41"/>
        <v>4.3806635694635943E-3</v>
      </c>
      <c r="M37">
        <f t="shared" si="48"/>
        <v>611166255.69714236</v>
      </c>
      <c r="N37">
        <f t="shared" si="49"/>
        <v>578511.41619720089</v>
      </c>
      <c r="O37">
        <f t="shared" si="50"/>
        <v>760.5993795666684</v>
      </c>
      <c r="Q37" s="2">
        <f t="shared" si="42"/>
        <v>2.3070659645819926</v>
      </c>
      <c r="R37" s="2">
        <f t="shared" si="2"/>
        <v>3.6972210970865269E-2</v>
      </c>
      <c r="W37" s="2">
        <f t="shared" si="3"/>
        <v>148307.78829907041</v>
      </c>
      <c r="X37" s="2">
        <f t="shared" si="43"/>
        <v>1188.6754300000002</v>
      </c>
      <c r="Y37" s="2">
        <f t="shared" si="4"/>
        <v>124.76726998476815</v>
      </c>
      <c r="Z37" s="2">
        <f t="shared" si="44"/>
        <v>5.2372215348832674</v>
      </c>
      <c r="AA37" s="2">
        <f t="shared" si="5"/>
        <v>1.2822419306419615</v>
      </c>
      <c r="AB37" s="2">
        <f t="shared" si="6"/>
        <v>1.0793330139339739</v>
      </c>
      <c r="AC37" s="2">
        <f t="shared" si="7"/>
        <v>1.3466543355297365E-2</v>
      </c>
      <c r="AD37" s="2">
        <f t="shared" si="8"/>
        <v>3901089.8354723928</v>
      </c>
      <c r="AI37">
        <f t="shared" si="9"/>
        <v>1.2932796251253374E-6</v>
      </c>
      <c r="AK37">
        <f t="shared" si="10"/>
        <v>7.0413121614958431E-6</v>
      </c>
      <c r="AL37">
        <f t="shared" si="11"/>
        <v>-3.9953723100438214</v>
      </c>
      <c r="AM37">
        <f t="shared" si="12"/>
        <v>15.108666951455406</v>
      </c>
      <c r="AN37">
        <f t="shared" si="13"/>
        <v>228.27181705000081</v>
      </c>
      <c r="AO37">
        <f t="shared" si="14"/>
        <v>4.3807422787586576E-3</v>
      </c>
      <c r="AQ37" s="3">
        <f t="shared" si="45"/>
        <v>156.80000000000024</v>
      </c>
      <c r="AR37" s="3">
        <f t="shared" si="15"/>
        <v>616.80000000000018</v>
      </c>
      <c r="AS37">
        <f t="shared" si="51"/>
        <v>749.40165683365888</v>
      </c>
      <c r="AV37" s="3">
        <f t="shared" si="16"/>
        <v>1.6448000000000005</v>
      </c>
      <c r="AW37" s="3">
        <f t="shared" si="17"/>
        <v>1.1168430057133516</v>
      </c>
      <c r="AX37" s="4">
        <v>0.8</v>
      </c>
      <c r="AY37" s="5">
        <f t="shared" si="18"/>
        <v>0.22916738474480547</v>
      </c>
      <c r="AZ37" s="5">
        <f t="shared" si="19"/>
        <v>-0.10224646824906591</v>
      </c>
      <c r="BA37" s="5">
        <f t="shared" si="20"/>
        <v>8.8297568222916022E-3</v>
      </c>
      <c r="BB37" s="5">
        <f t="shared" si="21"/>
        <v>-2.5321642376305307E-5</v>
      </c>
      <c r="BC37" s="5">
        <f t="shared" si="22"/>
        <v>7.5136518857568833E-3</v>
      </c>
      <c r="BD37" s="5">
        <f t="shared" si="23"/>
        <v>0.96284267071726848</v>
      </c>
      <c r="BE37" s="6">
        <f t="shared" si="24"/>
        <v>0.91384307486412397</v>
      </c>
      <c r="BF37" s="7">
        <f t="shared" si="25"/>
        <v>0.11384307486412393</v>
      </c>
      <c r="BG37" s="5">
        <v>0.85</v>
      </c>
      <c r="BH37" s="5">
        <f t="shared" si="26"/>
        <v>0.21568695034805224</v>
      </c>
      <c r="BI37" s="5">
        <f t="shared" si="27"/>
        <v>-9.6231970116767943E-2</v>
      </c>
      <c r="BJ37" s="5">
        <f t="shared" si="28"/>
        <v>7.8215146937946397E-3</v>
      </c>
      <c r="BK37" s="5">
        <f t="shared" si="29"/>
        <v>-1.8700239866674416E-5</v>
      </c>
      <c r="BL37" s="5">
        <f t="shared" si="30"/>
        <v>6.627964232577695E-3</v>
      </c>
      <c r="BM37" s="5">
        <f t="shared" si="31"/>
        <v>0.96701474016294053</v>
      </c>
      <c r="BN37" s="8">
        <f t="shared" si="32"/>
        <v>0.91801758392706878</v>
      </c>
      <c r="BO37" s="9">
        <f t="shared" si="33"/>
        <v>6.8017583927068803E-2</v>
      </c>
      <c r="BP37" s="10">
        <f t="shared" si="34"/>
        <v>-0.91650981874110371</v>
      </c>
      <c r="BQ37" s="10">
        <f t="shared" si="35"/>
        <v>0.92421369911835327</v>
      </c>
    </row>
    <row r="38" spans="2:69">
      <c r="B38">
        <f t="shared" si="36"/>
        <v>4400</v>
      </c>
      <c r="C38">
        <f t="shared" si="46"/>
        <v>157.60000000000025</v>
      </c>
      <c r="D38">
        <f t="shared" si="0"/>
        <v>617.60000000000025</v>
      </c>
      <c r="E38">
        <f t="shared" si="37"/>
        <v>617.20000000000027</v>
      </c>
      <c r="F38">
        <f t="shared" si="47"/>
        <v>760.5993795666684</v>
      </c>
      <c r="G38">
        <f t="shared" si="38"/>
        <v>755.0005182001637</v>
      </c>
      <c r="H38">
        <f t="shared" si="1"/>
        <v>0.92354174246236032</v>
      </c>
      <c r="I38">
        <f t="shared" si="39"/>
        <v>0.92387772079035679</v>
      </c>
      <c r="K38">
        <f t="shared" si="40"/>
        <v>-7.6431099360280185E-3</v>
      </c>
      <c r="L38">
        <f t="shared" si="41"/>
        <v>4.3807422787586576E-3</v>
      </c>
      <c r="M38">
        <f t="shared" si="48"/>
        <v>611860589.94588673</v>
      </c>
      <c r="N38">
        <f t="shared" si="49"/>
        <v>595554.54099199548</v>
      </c>
      <c r="O38">
        <f t="shared" si="50"/>
        <v>771.72180284866613</v>
      </c>
      <c r="Q38" s="2">
        <f t="shared" si="42"/>
        <v>2.3402070308871452</v>
      </c>
      <c r="R38" s="2">
        <f t="shared" si="2"/>
        <v>3.7503317802678612E-2</v>
      </c>
      <c r="W38" s="2">
        <f t="shared" si="3"/>
        <v>148596.41839116029</v>
      </c>
      <c r="X38" s="2">
        <f t="shared" si="43"/>
        <v>1189.4754300000004</v>
      </c>
      <c r="Y38" s="2">
        <f t="shared" si="4"/>
        <v>124.92600909895233</v>
      </c>
      <c r="Z38" s="2">
        <f t="shared" si="44"/>
        <v>5.2351500040673562</v>
      </c>
      <c r="AA38" s="2">
        <f t="shared" si="5"/>
        <v>1.2827026390954201</v>
      </c>
      <c r="AB38" s="2">
        <f t="shared" si="6"/>
        <v>1.0806947060428052</v>
      </c>
      <c r="AC38" s="2">
        <f t="shared" si="7"/>
        <v>1.350068766802931E-2</v>
      </c>
      <c r="AD38" s="2">
        <f t="shared" si="8"/>
        <v>3891223.6690508705</v>
      </c>
      <c r="AI38">
        <f t="shared" si="9"/>
        <v>1.2965587252481435E-6</v>
      </c>
      <c r="AK38">
        <f t="shared" si="10"/>
        <v>7.0573440425305599E-6</v>
      </c>
      <c r="AL38">
        <f t="shared" si="11"/>
        <v>-3.9953034278990334</v>
      </c>
      <c r="AM38">
        <f t="shared" si="12"/>
        <v>15.108531639746085</v>
      </c>
      <c r="AN38">
        <f t="shared" si="13"/>
        <v>228.26772830920851</v>
      </c>
      <c r="AO38">
        <f t="shared" si="14"/>
        <v>4.3808207467917366E-3</v>
      </c>
      <c r="AQ38" s="3">
        <f t="shared" si="45"/>
        <v>157.60000000000025</v>
      </c>
      <c r="AR38" s="3">
        <f t="shared" si="15"/>
        <v>617.60000000000025</v>
      </c>
      <c r="AS38">
        <f t="shared" si="51"/>
        <v>760.5993795666684</v>
      </c>
      <c r="AV38" s="3">
        <f t="shared" si="16"/>
        <v>1.646933333333334</v>
      </c>
      <c r="AW38" s="3">
        <f t="shared" si="17"/>
        <v>1.1335311170889246</v>
      </c>
      <c r="AX38" s="4">
        <v>0.8</v>
      </c>
      <c r="AY38" s="5">
        <f t="shared" si="18"/>
        <v>0.2322903691816175</v>
      </c>
      <c r="AZ38" s="5">
        <f t="shared" si="19"/>
        <v>-0.10333206274228676</v>
      </c>
      <c r="BA38" s="5">
        <f t="shared" si="20"/>
        <v>9.0938102125777513E-3</v>
      </c>
      <c r="BB38" s="5">
        <f t="shared" si="21"/>
        <v>-2.706586980665411E-5</v>
      </c>
      <c r="BC38" s="5">
        <f t="shared" si="22"/>
        <v>7.6975703658392486E-3</v>
      </c>
      <c r="BD38" s="5">
        <f t="shared" si="23"/>
        <v>0.96184274726654651</v>
      </c>
      <c r="BE38" s="6">
        <f t="shared" si="24"/>
        <v>0.9131926655680539</v>
      </c>
      <c r="BF38" s="7">
        <f t="shared" si="25"/>
        <v>0.11319266556805385</v>
      </c>
      <c r="BG38" s="5">
        <v>0.85</v>
      </c>
      <c r="BH38" s="5">
        <f t="shared" si="26"/>
        <v>0.21862622981799296</v>
      </c>
      <c r="BI38" s="5">
        <f t="shared" si="27"/>
        <v>-9.7253706110387556E-2</v>
      </c>
      <c r="BJ38" s="5">
        <f t="shared" si="28"/>
        <v>8.0554166588924052E-3</v>
      </c>
      <c r="BK38" s="5">
        <f t="shared" si="29"/>
        <v>-1.9988366080796976E-5</v>
      </c>
      <c r="BL38" s="5">
        <f t="shared" si="30"/>
        <v>6.7894526361108225E-3</v>
      </c>
      <c r="BM38" s="5">
        <f t="shared" si="31"/>
        <v>0.96612510405586882</v>
      </c>
      <c r="BN38" s="8">
        <f t="shared" si="32"/>
        <v>0.91738115954913058</v>
      </c>
      <c r="BO38" s="9">
        <f t="shared" si="33"/>
        <v>6.7381159549130598E-2</v>
      </c>
      <c r="BP38" s="10">
        <f t="shared" si="34"/>
        <v>-0.9162301203784663</v>
      </c>
      <c r="BQ38" s="10">
        <f t="shared" si="35"/>
        <v>0.92354174246236032</v>
      </c>
    </row>
    <row r="39" spans="2:69">
      <c r="B39">
        <f t="shared" si="36"/>
        <v>4600</v>
      </c>
      <c r="C39">
        <f t="shared" si="46"/>
        <v>158.40000000000026</v>
      </c>
      <c r="D39">
        <f t="shared" si="0"/>
        <v>618.40000000000032</v>
      </c>
      <c r="E39">
        <f t="shared" si="37"/>
        <v>618.00000000000023</v>
      </c>
      <c r="F39">
        <f t="shared" si="47"/>
        <v>771.72180284866613</v>
      </c>
      <c r="G39">
        <f t="shared" si="38"/>
        <v>766.16059120766727</v>
      </c>
      <c r="H39">
        <f t="shared" si="1"/>
        <v>0.92288990808765281</v>
      </c>
      <c r="I39">
        <f t="shared" si="39"/>
        <v>0.92321582527500656</v>
      </c>
      <c r="K39">
        <f t="shared" si="40"/>
        <v>-7.6386885430974986E-3</v>
      </c>
      <c r="L39">
        <f t="shared" si="41"/>
        <v>4.3808207467917366E-3</v>
      </c>
      <c r="M39">
        <f t="shared" si="48"/>
        <v>612580076.34193885</v>
      </c>
      <c r="N39">
        <f t="shared" si="49"/>
        <v>612733.26766474056</v>
      </c>
      <c r="O39">
        <f t="shared" si="50"/>
        <v>782.77280718273585</v>
      </c>
      <c r="Q39" s="2">
        <f t="shared" si="42"/>
        <v>2.3730316042188924</v>
      </c>
      <c r="R39" s="2">
        <f t="shared" si="2"/>
        <v>3.8029352631713018E-2</v>
      </c>
      <c r="W39" s="2">
        <f t="shared" si="3"/>
        <v>148885.23548042701</v>
      </c>
      <c r="X39" s="2">
        <f t="shared" si="43"/>
        <v>1190.2754300000004</v>
      </c>
      <c r="Y39" s="2">
        <f t="shared" si="4"/>
        <v>125.0846919359051</v>
      </c>
      <c r="Z39" s="2">
        <f t="shared" si="44"/>
        <v>5.2330838329689513</v>
      </c>
      <c r="AA39" s="2">
        <f t="shared" si="5"/>
        <v>1.2831621555477053</v>
      </c>
      <c r="AB39" s="2">
        <f t="shared" si="6"/>
        <v>1.0820456072982281</v>
      </c>
      <c r="AC39" s="2">
        <f t="shared" si="7"/>
        <v>1.3534734144949823E-2</v>
      </c>
      <c r="AD39" s="2">
        <f t="shared" si="8"/>
        <v>3881435.3381223073</v>
      </c>
      <c r="AI39">
        <f t="shared" si="9"/>
        <v>1.2998284295625234E-6</v>
      </c>
      <c r="AK39">
        <f t="shared" si="10"/>
        <v>7.0733258730528598E-6</v>
      </c>
      <c r="AL39">
        <f t="shared" si="11"/>
        <v>-3.9952347716722789</v>
      </c>
      <c r="AM39">
        <f t="shared" si="12"/>
        <v>15.108396730538535</v>
      </c>
      <c r="AN39">
        <f t="shared" si="13"/>
        <v>228.26365176734751</v>
      </c>
      <c r="AO39">
        <f t="shared" si="14"/>
        <v>4.380898983510643E-3</v>
      </c>
      <c r="AQ39" s="3">
        <f t="shared" si="45"/>
        <v>158.40000000000026</v>
      </c>
      <c r="AR39" s="3">
        <f t="shared" si="15"/>
        <v>618.40000000000032</v>
      </c>
      <c r="AS39">
        <f t="shared" si="51"/>
        <v>771.72180284866613</v>
      </c>
      <c r="AV39" s="3">
        <f t="shared" si="16"/>
        <v>1.6490666666666676</v>
      </c>
      <c r="AW39" s="3">
        <f t="shared" si="17"/>
        <v>1.150107008716343</v>
      </c>
      <c r="AX39" s="4">
        <v>0.8</v>
      </c>
      <c r="AY39" s="5">
        <f t="shared" si="18"/>
        <v>0.23538230642086366</v>
      </c>
      <c r="AZ39" s="5">
        <f t="shared" si="19"/>
        <v>-0.10439672506207415</v>
      </c>
      <c r="BA39" s="5">
        <f t="shared" si="20"/>
        <v>9.3598066068470917E-3</v>
      </c>
      <c r="BB39" s="5">
        <f t="shared" si="21"/>
        <v>-2.8885083068481027E-5</v>
      </c>
      <c r="BC39" s="5">
        <f t="shared" si="22"/>
        <v>7.881119587577038E-3</v>
      </c>
      <c r="BD39" s="5">
        <f t="shared" si="23"/>
        <v>0.96084047518612836</v>
      </c>
      <c r="BE39" s="6">
        <f t="shared" si="24"/>
        <v>0.91256446531736779</v>
      </c>
      <c r="BF39" s="7">
        <f t="shared" si="25"/>
        <v>0.11256446531736775</v>
      </c>
      <c r="BG39" s="5">
        <v>0.85</v>
      </c>
      <c r="BH39" s="5">
        <f t="shared" si="26"/>
        <v>0.22153628839610698</v>
      </c>
      <c r="BI39" s="5">
        <f t="shared" si="27"/>
        <v>-9.8255741234893307E-2</v>
      </c>
      <c r="BJ39" s="5">
        <f t="shared" si="28"/>
        <v>8.2910397624666281E-3</v>
      </c>
      <c r="BK39" s="5">
        <f t="shared" si="29"/>
        <v>-2.1331869944378595E-5</v>
      </c>
      <c r="BL39" s="5">
        <f t="shared" si="30"/>
        <v>6.9505784633975484E-3</v>
      </c>
      <c r="BM39" s="5">
        <f t="shared" si="31"/>
        <v>0.96523327237765977</v>
      </c>
      <c r="BN39" s="8">
        <f t="shared" si="32"/>
        <v>0.91676555999266052</v>
      </c>
      <c r="BO39" s="9">
        <f t="shared" si="33"/>
        <v>6.6765559992660539E-2</v>
      </c>
      <c r="BP39" s="10">
        <f t="shared" si="34"/>
        <v>-0.91597810649414535</v>
      </c>
      <c r="BQ39" s="10">
        <f t="shared" si="35"/>
        <v>0.92288990808765281</v>
      </c>
    </row>
    <row r="40" spans="2:69">
      <c r="B40">
        <f t="shared" si="36"/>
        <v>4800</v>
      </c>
      <c r="C40">
        <f t="shared" si="46"/>
        <v>159.20000000000027</v>
      </c>
      <c r="D40">
        <f t="shared" si="0"/>
        <v>619.20000000000027</v>
      </c>
      <c r="E40">
        <f t="shared" si="37"/>
        <v>618.8000000000003</v>
      </c>
      <c r="F40">
        <f t="shared" si="47"/>
        <v>782.77280718273585</v>
      </c>
      <c r="G40">
        <f t="shared" si="38"/>
        <v>777.24730501570093</v>
      </c>
      <c r="H40">
        <f t="shared" si="1"/>
        <v>0.92225759868941115</v>
      </c>
      <c r="I40">
        <f t="shared" si="39"/>
        <v>0.92257375338853198</v>
      </c>
      <c r="K40">
        <f t="shared" si="40"/>
        <v>-7.6341223846470964E-3</v>
      </c>
      <c r="L40">
        <f t="shared" si="41"/>
        <v>4.380898983510643E-3</v>
      </c>
      <c r="M40">
        <f t="shared" si="48"/>
        <v>613324047.35852802</v>
      </c>
      <c r="N40">
        <f t="shared" si="49"/>
        <v>630048.64056517405</v>
      </c>
      <c r="O40">
        <f t="shared" si="50"/>
        <v>793.75603340395094</v>
      </c>
      <c r="Q40" s="2">
        <f t="shared" si="42"/>
        <v>2.4055515621816017</v>
      </c>
      <c r="R40" s="2">
        <f t="shared" si="2"/>
        <v>3.8550505804192337E-2</v>
      </c>
      <c r="W40" s="2">
        <f t="shared" si="3"/>
        <v>149174.23944587586</v>
      </c>
      <c r="X40" s="2">
        <f t="shared" si="43"/>
        <v>1191.0754300000003</v>
      </c>
      <c r="Y40" s="2">
        <f t="shared" si="4"/>
        <v>125.24331850743981</v>
      </c>
      <c r="Z40" s="2">
        <f t="shared" si="44"/>
        <v>5.231023000813952</v>
      </c>
      <c r="AA40" s="2">
        <f t="shared" si="5"/>
        <v>1.2836204846189772</v>
      </c>
      <c r="AB40" s="2">
        <f t="shared" si="6"/>
        <v>1.083386082890216</v>
      </c>
      <c r="AC40" s="2">
        <f t="shared" si="7"/>
        <v>1.3568686824594691E-2</v>
      </c>
      <c r="AD40" s="2">
        <f t="shared" si="8"/>
        <v>3871722.8926733737</v>
      </c>
      <c r="AI40">
        <f t="shared" si="9"/>
        <v>1.3030891259152993E-6</v>
      </c>
      <c r="AK40">
        <f t="shared" si="10"/>
        <v>7.089259594817977E-6</v>
      </c>
      <c r="AL40">
        <f t="shared" si="11"/>
        <v>-3.9951663329185569</v>
      </c>
      <c r="AM40">
        <f t="shared" si="12"/>
        <v>15.108262207700712</v>
      </c>
      <c r="AN40">
        <f t="shared" si="13"/>
        <v>228.25958693663759</v>
      </c>
      <c r="AO40">
        <f t="shared" si="14"/>
        <v>4.3809769982523852E-3</v>
      </c>
      <c r="AQ40" s="3">
        <f t="shared" si="45"/>
        <v>159.20000000000027</v>
      </c>
      <c r="AR40" s="3">
        <f t="shared" si="15"/>
        <v>619.20000000000027</v>
      </c>
      <c r="AS40">
        <f t="shared" si="51"/>
        <v>782.77280718273585</v>
      </c>
      <c r="AV40" s="3">
        <f t="shared" si="16"/>
        <v>1.6512000000000007</v>
      </c>
      <c r="AW40" s="3">
        <f t="shared" si="17"/>
        <v>1.1665764637596658</v>
      </c>
      <c r="AX40" s="4">
        <v>0.8</v>
      </c>
      <c r="AY40" s="5">
        <f t="shared" si="18"/>
        <v>0.23844449886076011</v>
      </c>
      <c r="AZ40" s="5">
        <f t="shared" si="19"/>
        <v>-0.10544119192699772</v>
      </c>
      <c r="BA40" s="5">
        <f t="shared" si="20"/>
        <v>9.627756140455317E-3</v>
      </c>
      <c r="BB40" s="5">
        <f t="shared" si="21"/>
        <v>-3.0780814933437653E-5</v>
      </c>
      <c r="BC40" s="5">
        <f t="shared" si="22"/>
        <v>8.0643090421357987E-3</v>
      </c>
      <c r="BD40" s="5">
        <f t="shared" si="23"/>
        <v>0.95983583275974194</v>
      </c>
      <c r="BE40" s="6">
        <f t="shared" si="24"/>
        <v>0.91195775781348132</v>
      </c>
      <c r="BF40" s="7">
        <f t="shared" si="25"/>
        <v>0.11195775781348127</v>
      </c>
      <c r="BG40" s="5">
        <v>0.85</v>
      </c>
      <c r="BH40" s="5">
        <f t="shared" si="26"/>
        <v>0.22441835186895068</v>
      </c>
      <c r="BI40" s="5">
        <f t="shared" si="27"/>
        <v>-9.9238768872468436E-2</v>
      </c>
      <c r="BJ40" s="5">
        <f t="shared" si="28"/>
        <v>8.5283929825486545E-3</v>
      </c>
      <c r="BK40" s="5">
        <f t="shared" si="29"/>
        <v>-2.2731883421812418E-5</v>
      </c>
      <c r="BL40" s="5">
        <f t="shared" si="30"/>
        <v>7.1113501046455559E-3</v>
      </c>
      <c r="BM40" s="5">
        <f t="shared" si="31"/>
        <v>0.96433922493179114</v>
      </c>
      <c r="BN40" s="8">
        <f t="shared" si="32"/>
        <v>0.91617010984163461</v>
      </c>
      <c r="BO40" s="9">
        <f t="shared" si="33"/>
        <v>6.6170109841634628E-2</v>
      </c>
      <c r="BP40" s="10">
        <f t="shared" si="34"/>
        <v>-0.91575295943693413</v>
      </c>
      <c r="BQ40" s="10">
        <f t="shared" si="35"/>
        <v>0.92225759868941115</v>
      </c>
    </row>
    <row r="41" spans="2:69">
      <c r="B41">
        <f t="shared" si="36"/>
        <v>5000</v>
      </c>
      <c r="C41">
        <f t="shared" si="46"/>
        <v>160.00000000000028</v>
      </c>
      <c r="D41">
        <f t="shared" si="0"/>
        <v>620.00000000000023</v>
      </c>
      <c r="E41">
        <f t="shared" si="37"/>
        <v>619.60000000000025</v>
      </c>
      <c r="F41">
        <f t="shared" si="47"/>
        <v>793.75603340395094</v>
      </c>
      <c r="G41">
        <f t="shared" si="38"/>
        <v>788.26442029334339</v>
      </c>
      <c r="H41">
        <f t="shared" si="1"/>
        <v>0.92164425063412148</v>
      </c>
      <c r="I41">
        <f t="shared" si="39"/>
        <v>0.92195092466176631</v>
      </c>
      <c r="K41">
        <f t="shared" si="40"/>
        <v>-7.6294161570141707E-3</v>
      </c>
      <c r="L41">
        <f t="shared" si="41"/>
        <v>4.3809769982523852E-3</v>
      </c>
      <c r="M41">
        <f t="shared" si="48"/>
        <v>614091877.70208859</v>
      </c>
      <c r="N41">
        <f t="shared" si="49"/>
        <v>647501.69880198524</v>
      </c>
      <c r="O41">
        <f t="shared" si="50"/>
        <v>804.67490255505379</v>
      </c>
      <c r="Q41" s="2">
        <f t="shared" si="42"/>
        <v>2.4377780459217822</v>
      </c>
      <c r="R41" s="2">
        <f t="shared" si="2"/>
        <v>3.9066955864131128E-2</v>
      </c>
      <c r="W41" s="2">
        <f t="shared" si="3"/>
        <v>149463.4301667469</v>
      </c>
      <c r="X41" s="2">
        <f t="shared" si="43"/>
        <v>1191.8754300000003</v>
      </c>
      <c r="Y41" s="2">
        <f t="shared" si="4"/>
        <v>125.40188882553511</v>
      </c>
      <c r="Z41" s="2">
        <f t="shared" si="44"/>
        <v>5.228967486935483</v>
      </c>
      <c r="AA41" s="2">
        <f t="shared" si="5"/>
        <v>1.2840776309055488</v>
      </c>
      <c r="AB41" s="2">
        <f t="shared" si="6"/>
        <v>1.0847164767649797</v>
      </c>
      <c r="AC41" s="2">
        <f t="shared" si="7"/>
        <v>1.3602549502650814E-2</v>
      </c>
      <c r="AD41" s="2">
        <f t="shared" si="8"/>
        <v>3862084.4858576832</v>
      </c>
      <c r="AI41">
        <f t="shared" si="9"/>
        <v>1.3063411788309374E-6</v>
      </c>
      <c r="AK41">
        <f t="shared" si="10"/>
        <v>7.1051470333765347E-6</v>
      </c>
      <c r="AL41">
        <f t="shared" si="11"/>
        <v>-3.9950981036974964</v>
      </c>
      <c r="AM41">
        <f t="shared" si="12"/>
        <v>15.10812805607001</v>
      </c>
      <c r="AN41">
        <f t="shared" si="13"/>
        <v>228.25553335860977</v>
      </c>
      <c r="AO41">
        <f t="shared" si="14"/>
        <v>4.3810547997927872E-3</v>
      </c>
      <c r="AQ41" s="3">
        <f t="shared" si="45"/>
        <v>160.00000000000028</v>
      </c>
      <c r="AR41" s="3">
        <f t="shared" si="15"/>
        <v>620.00000000000023</v>
      </c>
      <c r="AS41">
        <f t="shared" si="51"/>
        <v>793.75603340395094</v>
      </c>
      <c r="AV41" s="3">
        <f t="shared" si="16"/>
        <v>1.653333333333334</v>
      </c>
      <c r="AW41" s="3">
        <f t="shared" si="17"/>
        <v>1.1829449082026093</v>
      </c>
      <c r="AX41" s="4">
        <v>0.8</v>
      </c>
      <c r="AY41" s="5">
        <f t="shared" si="18"/>
        <v>0.24147816926514951</v>
      </c>
      <c r="AZ41" s="5">
        <f t="shared" si="19"/>
        <v>-0.10646615697118748</v>
      </c>
      <c r="BA41" s="5">
        <f t="shared" si="20"/>
        <v>9.8976688254327604E-3</v>
      </c>
      <c r="BB41" s="5">
        <f t="shared" si="21"/>
        <v>-3.275460899321195E-5</v>
      </c>
      <c r="BC41" s="5">
        <f t="shared" si="22"/>
        <v>8.247147991979795E-3</v>
      </c>
      <c r="BD41" s="5">
        <f t="shared" si="23"/>
        <v>0.95882879916876618</v>
      </c>
      <c r="BE41" s="6">
        <f t="shared" si="24"/>
        <v>0.91137186946895565</v>
      </c>
      <c r="BF41" s="7">
        <f t="shared" si="25"/>
        <v>0.11137186946895561</v>
      </c>
      <c r="BG41" s="5">
        <v>0.85</v>
      </c>
      <c r="BH41" s="5">
        <f t="shared" si="26"/>
        <v>0.22727357107308188</v>
      </c>
      <c r="BI41" s="5">
        <f t="shared" si="27"/>
        <v>-0.10020344185523528</v>
      </c>
      <c r="BJ41" s="5">
        <f t="shared" si="28"/>
        <v>8.7674851879265964E-3</v>
      </c>
      <c r="BK41" s="5">
        <f t="shared" si="29"/>
        <v>-2.4189546468176867E-5</v>
      </c>
      <c r="BL41" s="5">
        <f t="shared" si="30"/>
        <v>7.2717757445733911E-3</v>
      </c>
      <c r="BM41" s="5">
        <f t="shared" si="31"/>
        <v>0.96344294230768823</v>
      </c>
      <c r="BN41" s="8">
        <f t="shared" si="32"/>
        <v>0.91559417389831288</v>
      </c>
      <c r="BO41" s="9">
        <f t="shared" si="33"/>
        <v>6.5594173898312902E-2</v>
      </c>
      <c r="BP41" s="10">
        <f t="shared" si="34"/>
        <v>-0.91555391141285536</v>
      </c>
      <c r="BQ41" s="10">
        <f t="shared" si="35"/>
        <v>0.92164425063412148</v>
      </c>
    </row>
    <row r="42" spans="2:69">
      <c r="B42">
        <f t="shared" si="36"/>
        <v>5200</v>
      </c>
      <c r="C42">
        <f t="shared" si="46"/>
        <v>160.8000000000003</v>
      </c>
      <c r="D42">
        <f t="shared" si="0"/>
        <v>620.8000000000003</v>
      </c>
      <c r="E42">
        <f t="shared" si="37"/>
        <v>620.40000000000032</v>
      </c>
      <c r="F42">
        <f t="shared" si="47"/>
        <v>804.67490255505379</v>
      </c>
      <c r="G42">
        <f t="shared" si="38"/>
        <v>799.21546797950236</v>
      </c>
      <c r="H42">
        <f t="shared" si="1"/>
        <v>0.92104933125996968</v>
      </c>
      <c r="I42">
        <f t="shared" si="39"/>
        <v>0.92134679094704564</v>
      </c>
      <c r="K42">
        <f t="shared" si="40"/>
        <v>-7.6245743083432375E-3</v>
      </c>
      <c r="L42">
        <f t="shared" si="41"/>
        <v>4.3810547997927872E-3</v>
      </c>
      <c r="M42">
        <f t="shared" si="48"/>
        <v>614882980.81124592</v>
      </c>
      <c r="N42">
        <f t="shared" si="49"/>
        <v>665093.476630716</v>
      </c>
      <c r="O42">
        <f t="shared" si="50"/>
        <v>815.53263370064838</v>
      </c>
      <c r="Q42" s="2">
        <f t="shared" si="42"/>
        <v>2.469721520918772</v>
      </c>
      <c r="R42" s="2">
        <f t="shared" si="2"/>
        <v>3.957887052754442E-2</v>
      </c>
      <c r="W42" s="2">
        <f t="shared" si="3"/>
        <v>149752.80752251396</v>
      </c>
      <c r="X42" s="2">
        <f t="shared" si="43"/>
        <v>1192.6754300000002</v>
      </c>
      <c r="Y42" s="2">
        <f t="shared" si="4"/>
        <v>125.56040290233356</v>
      </c>
      <c r="Z42" s="2">
        <f t="shared" si="44"/>
        <v>5.2269172707731943</v>
      </c>
      <c r="AA42" s="2">
        <f t="shared" si="5"/>
        <v>1.2845335989800417</v>
      </c>
      <c r="AB42" s="2">
        <f t="shared" si="6"/>
        <v>1.0860371132954114</v>
      </c>
      <c r="AC42" s="2">
        <f t="shared" si="7"/>
        <v>1.3636325751225916E-2</v>
      </c>
      <c r="AD42" s="2">
        <f t="shared" si="8"/>
        <v>3852518.3660690994</v>
      </c>
      <c r="AI42">
        <f t="shared" si="9"/>
        <v>1.3095849313621439E-6</v>
      </c>
      <c r="AK42">
        <f t="shared" si="10"/>
        <v>7.1209899072856398E-6</v>
      </c>
      <c r="AL42">
        <f t="shared" si="11"/>
        <v>-3.9950300765333746</v>
      </c>
      <c r="AM42">
        <f t="shared" si="12"/>
        <v>15.107994261376355</v>
      </c>
      <c r="AN42">
        <f t="shared" si="13"/>
        <v>228.25149060178086</v>
      </c>
      <c r="AO42">
        <f t="shared" si="14"/>
        <v>4.3811323963910088E-3</v>
      </c>
      <c r="AQ42" s="3">
        <f t="shared" si="45"/>
        <v>160.8000000000003</v>
      </c>
      <c r="AR42" s="3">
        <f t="shared" si="15"/>
        <v>620.8000000000003</v>
      </c>
      <c r="AS42">
        <f t="shared" si="51"/>
        <v>804.67490255505379</v>
      </c>
      <c r="AV42" s="3">
        <f t="shared" si="16"/>
        <v>1.6554666666666675</v>
      </c>
      <c r="AW42" s="3">
        <f t="shared" si="17"/>
        <v>1.1992174404695288</v>
      </c>
      <c r="AX42" s="4">
        <v>0.8</v>
      </c>
      <c r="AY42" s="5">
        <f t="shared" si="18"/>
        <v>0.24448446731543924</v>
      </c>
      <c r="AZ42" s="5">
        <f t="shared" si="19"/>
        <v>-0.10747227421535577</v>
      </c>
      <c r="BA42" s="5">
        <f t="shared" si="20"/>
        <v>1.016955455679984E-2</v>
      </c>
      <c r="BB42" s="5">
        <f t="shared" si="21"/>
        <v>-3.4808019992918585E-5</v>
      </c>
      <c r="BC42" s="5">
        <f t="shared" si="22"/>
        <v>8.4296454808692901E-3</v>
      </c>
      <c r="BD42" s="5">
        <f t="shared" si="23"/>
        <v>0.95781935445319277</v>
      </c>
      <c r="BE42" s="6">
        <f t="shared" si="24"/>
        <v>0.91080616595419239</v>
      </c>
      <c r="BF42" s="7">
        <f t="shared" si="25"/>
        <v>0.11080616595419235</v>
      </c>
      <c r="BG42" s="5">
        <v>0.85</v>
      </c>
      <c r="BH42" s="5">
        <f t="shared" si="26"/>
        <v>0.23010302806158986</v>
      </c>
      <c r="BI42" s="5">
        <f t="shared" si="27"/>
        <v>-0.10115037573209953</v>
      </c>
      <c r="BJ42" s="5">
        <f t="shared" si="28"/>
        <v>9.0083251437396497E-3</v>
      </c>
      <c r="BK42" s="5">
        <f t="shared" si="29"/>
        <v>-2.5706007275447163E-5</v>
      </c>
      <c r="BL42" s="5">
        <f t="shared" si="30"/>
        <v>7.4318633713800998E-3</v>
      </c>
      <c r="BM42" s="5">
        <f t="shared" si="31"/>
        <v>0.96254440584635348</v>
      </c>
      <c r="BN42" s="8">
        <f t="shared" si="32"/>
        <v>0.91503715393205187</v>
      </c>
      <c r="BO42" s="9">
        <f t="shared" si="33"/>
        <v>6.5037153932051894E-2</v>
      </c>
      <c r="BP42" s="10">
        <f t="shared" si="34"/>
        <v>-0.9153802404428103</v>
      </c>
      <c r="BQ42" s="10">
        <f t="shared" si="35"/>
        <v>0.92104933125996968</v>
      </c>
    </row>
    <row r="43" spans="2:69">
      <c r="B43">
        <f t="shared" si="36"/>
        <v>5400</v>
      </c>
      <c r="C43">
        <f t="shared" si="46"/>
        <v>161.60000000000031</v>
      </c>
      <c r="D43">
        <f t="shared" si="0"/>
        <v>621.60000000000036</v>
      </c>
      <c r="E43">
        <f t="shared" si="37"/>
        <v>621.20000000000027</v>
      </c>
      <c r="F43">
        <f t="shared" si="47"/>
        <v>815.53263370064838</v>
      </c>
      <c r="G43">
        <f t="shared" si="38"/>
        <v>810.10376812785103</v>
      </c>
      <c r="H43">
        <f t="shared" si="1"/>
        <v>0.92047233645119086</v>
      </c>
      <c r="I43">
        <f t="shared" si="39"/>
        <v>0.92076083385558027</v>
      </c>
      <c r="K43">
        <f t="shared" si="40"/>
        <v>-7.619601058037345E-3</v>
      </c>
      <c r="L43">
        <f t="shared" si="41"/>
        <v>4.3811323963910088E-3</v>
      </c>
      <c r="M43">
        <f t="shared" si="48"/>
        <v>615696805.71956146</v>
      </c>
      <c r="N43">
        <f t="shared" si="49"/>
        <v>682825.00380879547</v>
      </c>
      <c r="O43">
        <f t="shared" si="50"/>
        <v>826.33225993470421</v>
      </c>
      <c r="Q43" s="2">
        <f t="shared" si="42"/>
        <v>2.5013918314995065</v>
      </c>
      <c r="R43" s="2">
        <f t="shared" si="2"/>
        <v>4.0086407556081838E-2</v>
      </c>
      <c r="W43" s="2">
        <f t="shared" si="3"/>
        <v>150042.37139288339</v>
      </c>
      <c r="X43" s="2">
        <f t="shared" si="43"/>
        <v>1193.4754300000004</v>
      </c>
      <c r="Y43" s="2">
        <f t="shared" si="4"/>
        <v>125.7188607501399</v>
      </c>
      <c r="Z43" s="2">
        <f t="shared" si="44"/>
        <v>5.2248723318725858</v>
      </c>
      <c r="AA43" s="2">
        <f t="shared" si="5"/>
        <v>1.2849883933915371</v>
      </c>
      <c r="AB43" s="2">
        <f t="shared" si="6"/>
        <v>1.0873482987847489</v>
      </c>
      <c r="AC43" s="2">
        <f t="shared" si="7"/>
        <v>1.3670018936182138E-2</v>
      </c>
      <c r="AD43" s="2">
        <f t="shared" si="8"/>
        <v>3843022.8697964763</v>
      </c>
      <c r="AI43">
        <f t="shared" si="9"/>
        <v>1.3128207067545218E-6</v>
      </c>
      <c r="AK43">
        <f t="shared" si="10"/>
        <v>7.1367898363951968E-6</v>
      </c>
      <c r="AL43">
        <f t="shared" si="11"/>
        <v>-3.9949622443791464</v>
      </c>
      <c r="AM43">
        <f t="shared" si="12"/>
        <v>15.10786081017304</v>
      </c>
      <c r="AN43">
        <f t="shared" si="13"/>
        <v>228.24745825956239</v>
      </c>
      <c r="AO43">
        <f t="shared" si="14"/>
        <v>4.3812097958295894E-3</v>
      </c>
      <c r="AQ43" s="3">
        <f t="shared" si="45"/>
        <v>161.60000000000031</v>
      </c>
      <c r="AR43" s="3">
        <f t="shared" si="15"/>
        <v>621.60000000000036</v>
      </c>
      <c r="AS43">
        <f t="shared" si="51"/>
        <v>815.53263370064838</v>
      </c>
      <c r="AV43" s="3">
        <f t="shared" si="16"/>
        <v>1.6576000000000011</v>
      </c>
      <c r="AW43" s="3">
        <f t="shared" si="17"/>
        <v>1.2153988579741406</v>
      </c>
      <c r="AX43" s="4">
        <v>0.8</v>
      </c>
      <c r="AY43" s="5">
        <f t="shared" si="18"/>
        <v>0.2474644754864094</v>
      </c>
      <c r="AZ43" s="5">
        <f t="shared" si="19"/>
        <v>-0.10846016118403159</v>
      </c>
      <c r="BA43" s="5">
        <f t="shared" si="20"/>
        <v>1.0443423118319058E-2</v>
      </c>
      <c r="BB43" s="5">
        <f t="shared" si="21"/>
        <v>-3.6942614146560884E-5</v>
      </c>
      <c r="BC43" s="5">
        <f t="shared" si="22"/>
        <v>8.6118103431308667E-3</v>
      </c>
      <c r="BD43" s="5">
        <f t="shared" si="23"/>
        <v>0.95680747947562916</v>
      </c>
      <c r="BE43" s="6">
        <f t="shared" si="24"/>
        <v>0.91026004909656721</v>
      </c>
      <c r="BF43" s="7">
        <f t="shared" si="25"/>
        <v>0.11026004909656717</v>
      </c>
      <c r="BG43" s="5">
        <v>0.85</v>
      </c>
      <c r="BH43" s="5">
        <f t="shared" si="26"/>
        <v>0.2329077416342677</v>
      </c>
      <c r="BI43" s="5">
        <f t="shared" si="27"/>
        <v>-0.10208015170261799</v>
      </c>
      <c r="BJ43" s="5">
        <f t="shared" si="28"/>
        <v>9.2509215165732864E-3</v>
      </c>
      <c r="BK43" s="5">
        <f t="shared" si="29"/>
        <v>-2.7282422505466564E-5</v>
      </c>
      <c r="BL43" s="5">
        <f t="shared" si="30"/>
        <v>7.5916207850659639E-3</v>
      </c>
      <c r="BM43" s="5">
        <f t="shared" si="31"/>
        <v>0.96164359760868245</v>
      </c>
      <c r="BN43" s="8">
        <f t="shared" si="32"/>
        <v>0.91449848575989245</v>
      </c>
      <c r="BO43" s="9">
        <f t="shared" si="33"/>
        <v>6.4498485759892477E-2</v>
      </c>
      <c r="BP43" s="10">
        <f t="shared" si="34"/>
        <v>-0.91523126673349509</v>
      </c>
      <c r="BQ43" s="10">
        <f t="shared" si="35"/>
        <v>0.92047233645119086</v>
      </c>
    </row>
    <row r="44" spans="2:69">
      <c r="B44">
        <f t="shared" si="36"/>
        <v>5600</v>
      </c>
      <c r="C44">
        <f t="shared" si="46"/>
        <v>162.40000000000032</v>
      </c>
      <c r="D44">
        <f t="shared" si="0"/>
        <v>622.40000000000032</v>
      </c>
      <c r="E44">
        <f t="shared" si="37"/>
        <v>622.00000000000034</v>
      </c>
      <c r="F44">
        <f t="shared" si="47"/>
        <v>826.33225993470421</v>
      </c>
      <c r="G44">
        <f t="shared" si="38"/>
        <v>820.93244681767624</v>
      </c>
      <c r="H44">
        <f t="shared" si="1"/>
        <v>0.91991278845299518</v>
      </c>
      <c r="I44">
        <f t="shared" si="39"/>
        <v>0.92019256245209302</v>
      </c>
      <c r="K44">
        <f t="shared" si="40"/>
        <v>-7.6145004142646605E-3</v>
      </c>
      <c r="L44">
        <f t="shared" si="41"/>
        <v>4.3812097958295894E-3</v>
      </c>
      <c r="M44">
        <f t="shared" si="48"/>
        <v>616532834.23680782</v>
      </c>
      <c r="N44">
        <f t="shared" si="49"/>
        <v>700697.30592102034</v>
      </c>
      <c r="O44">
        <f t="shared" si="50"/>
        <v>837.07664279982168</v>
      </c>
      <c r="Q44" s="2">
        <f t="shared" si="42"/>
        <v>2.5327982498508899</v>
      </c>
      <c r="R44" s="2">
        <f t="shared" si="2"/>
        <v>4.058971554248221E-2</v>
      </c>
      <c r="W44" s="2">
        <f t="shared" si="3"/>
        <v>150332.12165779431</v>
      </c>
      <c r="X44" s="2">
        <f t="shared" si="43"/>
        <v>1194.2754300000004</v>
      </c>
      <c r="Y44" s="2">
        <f t="shared" si="4"/>
        <v>125.87726238142089</v>
      </c>
      <c r="Z44" s="2">
        <f t="shared" si="44"/>
        <v>5.2228326498843174</v>
      </c>
      <c r="AA44" s="2">
        <f t="shared" si="5"/>
        <v>1.285442018665728</v>
      </c>
      <c r="AB44" s="2">
        <f t="shared" si="6"/>
        <v>1.0886503228235043</v>
      </c>
      <c r="AC44" s="2">
        <f t="shared" si="7"/>
        <v>1.3703632232767281E-2</v>
      </c>
      <c r="AD44" s="2">
        <f t="shared" si="8"/>
        <v>3833596.4151666532</v>
      </c>
      <c r="AI44">
        <f t="shared" si="9"/>
        <v>1.316048809947741E-6</v>
      </c>
      <c r="AK44">
        <f t="shared" si="10"/>
        <v>7.1525483493214309E-6</v>
      </c>
      <c r="AL44">
        <f t="shared" si="11"/>
        <v>-3.994894600584002</v>
      </c>
      <c r="AM44">
        <f t="shared" si="12"/>
        <v>15.107727689774327</v>
      </c>
      <c r="AN44">
        <f t="shared" si="13"/>
        <v>228.24343594837393</v>
      </c>
      <c r="AO44">
        <f t="shared" si="14"/>
        <v>4.381287005450569E-3</v>
      </c>
      <c r="AQ44" s="3">
        <f t="shared" si="45"/>
        <v>162.40000000000032</v>
      </c>
      <c r="AR44" s="3">
        <f t="shared" si="15"/>
        <v>622.40000000000032</v>
      </c>
      <c r="AS44">
        <f t="shared" si="51"/>
        <v>826.33225993470421</v>
      </c>
      <c r="AV44" s="3">
        <f t="shared" si="16"/>
        <v>1.6597333333333342</v>
      </c>
      <c r="AW44" s="3">
        <f t="shared" si="17"/>
        <v>1.2314936809757142</v>
      </c>
      <c r="AX44" s="4">
        <v>0.8</v>
      </c>
      <c r="AY44" s="5">
        <f t="shared" si="18"/>
        <v>0.2504192143291914</v>
      </c>
      <c r="AZ44" s="5">
        <f t="shared" si="19"/>
        <v>-0.10943040171225905</v>
      </c>
      <c r="BA44" s="5">
        <f t="shared" si="20"/>
        <v>1.0719284187742309E-2</v>
      </c>
      <c r="BB44" s="5">
        <f t="shared" si="21"/>
        <v>-3.9159969435992876E-5</v>
      </c>
      <c r="BC44" s="5">
        <f t="shared" si="22"/>
        <v>8.7936512122719825E-3</v>
      </c>
      <c r="BD44" s="5">
        <f t="shared" si="23"/>
        <v>0.95579315588803637</v>
      </c>
      <c r="BE44" s="6">
        <f t="shared" si="24"/>
        <v>0.90973295408887533</v>
      </c>
      <c r="BF44" s="7">
        <f t="shared" si="25"/>
        <v>0.10973295408887529</v>
      </c>
      <c r="BG44" s="5">
        <v>0.85</v>
      </c>
      <c r="BH44" s="5">
        <f t="shared" si="26"/>
        <v>0.23568867230982724</v>
      </c>
      <c r="BI44" s="5">
        <f t="shared" si="27"/>
        <v>-0.10299331925859677</v>
      </c>
      <c r="BJ44" s="5">
        <f t="shared" si="28"/>
        <v>9.4952828791073779E-3</v>
      </c>
      <c r="BK44" s="5">
        <f t="shared" si="29"/>
        <v>-2.8919957510732207E-5</v>
      </c>
      <c r="BL44" s="5">
        <f t="shared" si="30"/>
        <v>7.7510556051677273E-3</v>
      </c>
      <c r="BM44" s="5">
        <f t="shared" si="31"/>
        <v>0.96074050034619629</v>
      </c>
      <c r="BN44" s="8">
        <f t="shared" si="32"/>
        <v>0.91397763661834142</v>
      </c>
      <c r="BO44" s="9">
        <f t="shared" si="33"/>
        <v>6.3977636618341438E-2</v>
      </c>
      <c r="BP44" s="10">
        <f t="shared" si="34"/>
        <v>-0.91510634941067825</v>
      </c>
      <c r="BQ44" s="10">
        <f t="shared" si="35"/>
        <v>0.91991278845299518</v>
      </c>
    </row>
    <row r="45" spans="2:69">
      <c r="B45">
        <f t="shared" si="36"/>
        <v>5800</v>
      </c>
      <c r="C45">
        <f t="shared" si="46"/>
        <v>163.20000000000033</v>
      </c>
      <c r="D45">
        <f t="shared" si="0"/>
        <v>623.20000000000027</v>
      </c>
      <c r="E45">
        <f t="shared" si="37"/>
        <v>622.8000000000003</v>
      </c>
      <c r="F45">
        <f t="shared" si="47"/>
        <v>837.07664279982168</v>
      </c>
      <c r="G45">
        <f t="shared" si="38"/>
        <v>831.70445136726289</v>
      </c>
      <c r="H45">
        <f t="shared" si="1"/>
        <v>0.91937023389835459</v>
      </c>
      <c r="I45">
        <f t="shared" si="39"/>
        <v>0.91964151117567483</v>
      </c>
      <c r="K45">
        <f t="shared" si="40"/>
        <v>-7.6092761897543536E-3</v>
      </c>
      <c r="L45">
        <f t="shared" si="41"/>
        <v>4.381287005450569E-3</v>
      </c>
      <c r="M45">
        <f t="shared" si="48"/>
        <v>617390578.41004586</v>
      </c>
      <c r="N45">
        <f t="shared" si="49"/>
        <v>718711.40467837651</v>
      </c>
      <c r="O45">
        <f t="shared" si="50"/>
        <v>847.76848530620464</v>
      </c>
      <c r="Q45" s="2">
        <f t="shared" si="42"/>
        <v>2.5639495201933156</v>
      </c>
      <c r="R45" s="2">
        <f t="shared" si="2"/>
        <v>4.108893461848262E-2</v>
      </c>
      <c r="W45" s="2">
        <f t="shared" si="3"/>
        <v>150622.05819741741</v>
      </c>
      <c r="X45" s="2">
        <f t="shared" si="43"/>
        <v>1195.0754300000003</v>
      </c>
      <c r="Y45" s="2">
        <f t="shared" si="4"/>
        <v>126.03560780880365</v>
      </c>
      <c r="Z45" s="2">
        <f t="shared" si="44"/>
        <v>5.2207982045635415</v>
      </c>
      <c r="AA45" s="2">
        <f t="shared" si="5"/>
        <v>1.2858944793050686</v>
      </c>
      <c r="AB45" s="2">
        <f t="shared" si="6"/>
        <v>1.0899434595169177</v>
      </c>
      <c r="AC45" s="2">
        <f t="shared" si="7"/>
        <v>1.3737168639744491E-2</v>
      </c>
      <c r="AD45" s="2">
        <f t="shared" si="8"/>
        <v>3824237.4960955549</v>
      </c>
      <c r="AI45">
        <f t="shared" si="9"/>
        <v>1.3192695289325037E-6</v>
      </c>
      <c r="AK45">
        <f t="shared" si="10"/>
        <v>7.1682668902028894E-6</v>
      </c>
      <c r="AL45">
        <f t="shared" si="11"/>
        <v>-3.994827138864034</v>
      </c>
      <c r="AM45">
        <f t="shared" si="12"/>
        <v>15.107594888199049</v>
      </c>
      <c r="AN45">
        <f t="shared" si="13"/>
        <v>228.23942330593803</v>
      </c>
      <c r="AO45">
        <f t="shared" si="14"/>
        <v>4.381364032188138E-3</v>
      </c>
      <c r="AQ45" s="3">
        <f t="shared" si="45"/>
        <v>163.20000000000033</v>
      </c>
      <c r="AR45" s="3">
        <f t="shared" si="15"/>
        <v>623.20000000000027</v>
      </c>
      <c r="AS45">
        <f t="shared" si="51"/>
        <v>837.07664279982168</v>
      </c>
      <c r="AV45" s="3">
        <f t="shared" si="16"/>
        <v>1.6618666666666675</v>
      </c>
      <c r="AW45" s="3">
        <f t="shared" si="17"/>
        <v>1.2475061740682887</v>
      </c>
      <c r="AX45" s="4">
        <v>0.8</v>
      </c>
      <c r="AY45" s="5">
        <f t="shared" si="18"/>
        <v>0.25334964723285897</v>
      </c>
      <c r="AZ45" s="5">
        <f t="shared" si="19"/>
        <v>-0.11038354847888519</v>
      </c>
      <c r="BA45" s="5">
        <f t="shared" si="20"/>
        <v>1.0997147341605043E-2</v>
      </c>
      <c r="BB45" s="5">
        <f t="shared" si="21"/>
        <v>-4.1461675894659775E-5</v>
      </c>
      <c r="BC45" s="5">
        <f t="shared" si="22"/>
        <v>8.9751765290023398E-3</v>
      </c>
      <c r="BD45" s="5">
        <f t="shared" si="23"/>
        <v>0.95477636610093186</v>
      </c>
      <c r="BE45" s="6">
        <f t="shared" si="24"/>
        <v>0.9092243469700898</v>
      </c>
      <c r="BF45" s="7">
        <f t="shared" si="25"/>
        <v>0.10922434697008976</v>
      </c>
      <c r="BG45" s="5">
        <v>0.85</v>
      </c>
      <c r="BH45" s="5">
        <f t="shared" si="26"/>
        <v>0.23844672680739668</v>
      </c>
      <c r="BI45" s="5">
        <f t="shared" si="27"/>
        <v>-0.10389039856836255</v>
      </c>
      <c r="BJ45" s="5">
        <f t="shared" si="28"/>
        <v>9.741417714362946E-3</v>
      </c>
      <c r="BK45" s="5">
        <f t="shared" si="29"/>
        <v>-3.0619786543939835E-5</v>
      </c>
      <c r="BL45" s="5">
        <f t="shared" si="30"/>
        <v>7.9101752779641224E-3</v>
      </c>
      <c r="BM45" s="5">
        <f t="shared" si="31"/>
        <v>0.95983509747395046</v>
      </c>
      <c r="BN45" s="8">
        <f t="shared" si="32"/>
        <v>0.91347410279150509</v>
      </c>
      <c r="BO45" s="9">
        <f t="shared" si="33"/>
        <v>6.3474102791505116E-2</v>
      </c>
      <c r="BP45" s="10">
        <f t="shared" si="34"/>
        <v>-0.91500488357169407</v>
      </c>
      <c r="BQ45" s="10">
        <f t="shared" si="35"/>
        <v>0.91937023389835459</v>
      </c>
    </row>
    <row r="46" spans="2:69">
      <c r="B46">
        <f t="shared" si="36"/>
        <v>6000</v>
      </c>
      <c r="C46">
        <f t="shared" si="46"/>
        <v>164.00000000000034</v>
      </c>
      <c r="D46">
        <f t="shared" si="0"/>
        <v>624.00000000000034</v>
      </c>
      <c r="E46">
        <f t="shared" si="37"/>
        <v>623.60000000000036</v>
      </c>
      <c r="F46">
        <f t="shared" si="47"/>
        <v>847.76848530620464</v>
      </c>
      <c r="G46">
        <f t="shared" si="38"/>
        <v>842.42256405301316</v>
      </c>
      <c r="H46">
        <f t="shared" si="1"/>
        <v>0.91884424202194614</v>
      </c>
      <c r="I46">
        <f t="shared" si="39"/>
        <v>0.91910723796015037</v>
      </c>
      <c r="K46">
        <f t="shared" si="40"/>
        <v>-7.6039320160831382E-3</v>
      </c>
      <c r="L46">
        <f t="shared" si="41"/>
        <v>4.381364032188138E-3</v>
      </c>
      <c r="M46">
        <f t="shared" si="48"/>
        <v>618269578.23121572</v>
      </c>
      <c r="N46">
        <f t="shared" si="49"/>
        <v>736868.31819277513</v>
      </c>
      <c r="O46">
        <f t="shared" si="50"/>
        <v>858.41034371259479</v>
      </c>
      <c r="Q46" s="2">
        <f t="shared" si="42"/>
        <v>2.5948538986862886</v>
      </c>
      <c r="R46" s="2">
        <f t="shared" si="2"/>
        <v>4.1584197094331546E-2</v>
      </c>
      <c r="W46" s="2">
        <f t="shared" si="3"/>
        <v>150912.18089215417</v>
      </c>
      <c r="X46" s="2">
        <f t="shared" si="43"/>
        <v>1195.8754300000005</v>
      </c>
      <c r="Y46" s="2">
        <f t="shared" si="4"/>
        <v>126.19389704507442</v>
      </c>
      <c r="Z46" s="2">
        <f t="shared" si="44"/>
        <v>5.2187689757692297</v>
      </c>
      <c r="AA46" s="2">
        <f t="shared" si="5"/>
        <v>1.2863457797889235</v>
      </c>
      <c r="AB46" s="2">
        <f t="shared" si="6"/>
        <v>1.0912279685978266</v>
      </c>
      <c r="AC46" s="2">
        <f t="shared" si="7"/>
        <v>1.3770630992193984E-2</v>
      </c>
      <c r="AD46" s="2">
        <f t="shared" si="8"/>
        <v>3814944.6769780102</v>
      </c>
      <c r="AI46">
        <f t="shared" si="9"/>
        <v>1.3224831359799773E-6</v>
      </c>
      <c r="AK46">
        <f t="shared" si="10"/>
        <v>7.1839468248222974E-6</v>
      </c>
      <c r="AL46">
        <f t="shared" si="11"/>
        <v>-3.9947598532756614</v>
      </c>
      <c r="AM46">
        <f t="shared" si="12"/>
        <v>15.107462394119526</v>
      </c>
      <c r="AN46">
        <f t="shared" si="13"/>
        <v>228.2354199897357</v>
      </c>
      <c r="AO46">
        <f t="shared" si="14"/>
        <v>4.3814408825982067E-3</v>
      </c>
      <c r="AQ46" s="3">
        <f t="shared" si="45"/>
        <v>164.00000000000034</v>
      </c>
      <c r="AR46" s="3">
        <f t="shared" si="15"/>
        <v>624.00000000000034</v>
      </c>
      <c r="AS46">
        <f t="shared" si="51"/>
        <v>847.76848530620464</v>
      </c>
      <c r="AV46" s="3">
        <f t="shared" si="16"/>
        <v>1.6640000000000008</v>
      </c>
      <c r="AW46" s="3">
        <f t="shared" si="17"/>
        <v>1.2634403655830173</v>
      </c>
      <c r="AX46" s="4">
        <v>0.8</v>
      </c>
      <c r="AY46" s="5">
        <f t="shared" si="18"/>
        <v>0.25625668472612267</v>
      </c>
      <c r="AZ46" s="5">
        <f t="shared" si="19"/>
        <v>-0.11132012529842236</v>
      </c>
      <c r="BA46" s="5">
        <f t="shared" si="20"/>
        <v>1.1277022059612469E-2</v>
      </c>
      <c r="BB46" s="5">
        <f t="shared" si="21"/>
        <v>-4.3849335877263908E-5</v>
      </c>
      <c r="BC46" s="5">
        <f t="shared" si="22"/>
        <v>9.156394548717332E-3</v>
      </c>
      <c r="BD46" s="5">
        <f t="shared" si="23"/>
        <v>0.95375709325481883</v>
      </c>
      <c r="BE46" s="6">
        <f t="shared" si="24"/>
        <v>0.90873372234654626</v>
      </c>
      <c r="BF46" s="7">
        <f t="shared" si="25"/>
        <v>0.10873372234654621</v>
      </c>
      <c r="BG46" s="5">
        <v>0.85</v>
      </c>
      <c r="BH46" s="5">
        <f t="shared" si="26"/>
        <v>0.24118276209517431</v>
      </c>
      <c r="BI46" s="5">
        <f t="shared" si="27"/>
        <v>-0.10477188263380929</v>
      </c>
      <c r="BJ46" s="5">
        <f t="shared" si="28"/>
        <v>9.9893344195875183E-3</v>
      </c>
      <c r="BK46" s="5">
        <f t="shared" si="29"/>
        <v>-3.2383092957134359E-5</v>
      </c>
      <c r="BL46" s="5">
        <f t="shared" si="30"/>
        <v>8.0689870832008851E-3</v>
      </c>
      <c r="BM46" s="5">
        <f t="shared" si="31"/>
        <v>0.9589273730454112</v>
      </c>
      <c r="BN46" s="8">
        <f t="shared" si="32"/>
        <v>0.9129874074655665</v>
      </c>
      <c r="BO46" s="9">
        <f t="shared" si="33"/>
        <v>6.2987407465566525E-2</v>
      </c>
      <c r="BP46" s="10">
        <f t="shared" si="34"/>
        <v>-0.91492629761959499</v>
      </c>
      <c r="BQ46" s="10">
        <f t="shared" si="35"/>
        <v>0.91884424202194614</v>
      </c>
    </row>
    <row r="47" spans="2:69">
      <c r="B47">
        <f t="shared" si="36"/>
        <v>6200</v>
      </c>
      <c r="C47">
        <f t="shared" si="46"/>
        <v>164.80000000000035</v>
      </c>
      <c r="D47">
        <f t="shared" si="0"/>
        <v>624.80000000000041</v>
      </c>
      <c r="E47">
        <f t="shared" si="37"/>
        <v>624.40000000000032</v>
      </c>
      <c r="F47">
        <f t="shared" si="47"/>
        <v>858.41034371259479</v>
      </c>
      <c r="G47">
        <f t="shared" si="38"/>
        <v>853.08941450939972</v>
      </c>
      <c r="H47">
        <f t="shared" si="1"/>
        <v>0.91833440303987124</v>
      </c>
      <c r="I47">
        <f t="shared" si="39"/>
        <v>0.91858932253090875</v>
      </c>
      <c r="K47">
        <f t="shared" si="40"/>
        <v>-7.598471356626303E-3</v>
      </c>
      <c r="L47">
        <f t="shared" si="41"/>
        <v>4.3814408825982067E-3</v>
      </c>
      <c r="M47">
        <f t="shared" si="48"/>
        <v>619169399.56254101</v>
      </c>
      <c r="N47">
        <f t="shared" si="49"/>
        <v>755169.06122996681</v>
      </c>
      <c r="O47">
        <f t="shared" si="50"/>
        <v>869.0046382096973</v>
      </c>
      <c r="Q47" s="2">
        <f t="shared" si="42"/>
        <v>2.6255191895592733</v>
      </c>
      <c r="R47" s="2">
        <f t="shared" si="2"/>
        <v>4.2075628037808871E-2</v>
      </c>
      <c r="W47" s="2">
        <f t="shared" si="3"/>
        <v>151202.4896226362</v>
      </c>
      <c r="X47" s="2">
        <f t="shared" si="43"/>
        <v>1196.6754300000005</v>
      </c>
      <c r="Y47" s="2">
        <f t="shared" si="4"/>
        <v>126.35213010317773</v>
      </c>
      <c r="Z47" s="2">
        <f t="shared" si="44"/>
        <v>5.2167449434635067</v>
      </c>
      <c r="AA47" s="2">
        <f t="shared" si="5"/>
        <v>1.2867959245737162</v>
      </c>
      <c r="AB47" s="2">
        <f t="shared" si="6"/>
        <v>1.0925040964378607</v>
      </c>
      <c r="AC47" s="2">
        <f t="shared" si="7"/>
        <v>1.3804021973137121E-2</v>
      </c>
      <c r="AD47" s="2">
        <f t="shared" si="8"/>
        <v>3805716.5878561595</v>
      </c>
      <c r="AI47">
        <f t="shared" si="9"/>
        <v>1.3256898887581295E-6</v>
      </c>
      <c r="AK47">
        <f t="shared" si="10"/>
        <v>7.1995894461657285E-6</v>
      </c>
      <c r="AL47">
        <f t="shared" si="11"/>
        <v>-3.9946927381914898</v>
      </c>
      <c r="AM47">
        <f t="shared" si="12"/>
        <v>15.107330196815155</v>
      </c>
      <c r="AN47">
        <f t="shared" si="13"/>
        <v>228.23142567560305</v>
      </c>
      <c r="AO47">
        <f t="shared" si="14"/>
        <v>4.3815175628852746E-3</v>
      </c>
      <c r="AQ47" s="3">
        <f t="shared" si="45"/>
        <v>164.80000000000035</v>
      </c>
      <c r="AR47" s="3">
        <f t="shared" si="15"/>
        <v>624.80000000000041</v>
      </c>
      <c r="AS47">
        <f t="shared" si="51"/>
        <v>858.41034371259479</v>
      </c>
      <c r="AV47" s="3">
        <f t="shared" si="16"/>
        <v>1.6661333333333344</v>
      </c>
      <c r="AW47" s="3">
        <f t="shared" si="17"/>
        <v>1.2793000651454467</v>
      </c>
      <c r="AX47" s="4">
        <v>0.8</v>
      </c>
      <c r="AY47" s="5">
        <f t="shared" si="18"/>
        <v>0.25914118837223193</v>
      </c>
      <c r="AZ47" s="5">
        <f t="shared" si="19"/>
        <v>-0.11224062919912774</v>
      </c>
      <c r="BA47" s="5">
        <f t="shared" si="20"/>
        <v>1.1558917728657806E-2</v>
      </c>
      <c r="BB47" s="5">
        <f t="shared" si="21"/>
        <v>-4.6324564316387326E-5</v>
      </c>
      <c r="BC47" s="5">
        <f t="shared" si="22"/>
        <v>9.33731334849245E-3</v>
      </c>
      <c r="BD47" s="5">
        <f t="shared" si="23"/>
        <v>0.95273532119363424</v>
      </c>
      <c r="BE47" s="6">
        <f t="shared" si="24"/>
        <v>0.90826060132600805</v>
      </c>
      <c r="BF47" s="7">
        <f t="shared" si="25"/>
        <v>0.10826060132600801</v>
      </c>
      <c r="BG47" s="5">
        <v>0.85</v>
      </c>
      <c r="BH47" s="5">
        <f t="shared" si="26"/>
        <v>0.24389758905621828</v>
      </c>
      <c r="BI47" s="5">
        <f t="shared" si="27"/>
        <v>-0.10563823924623787</v>
      </c>
      <c r="BJ47" s="5">
        <f t="shared" si="28"/>
        <v>1.0239041309814527E-2</v>
      </c>
      <c r="BK47" s="5">
        <f t="shared" si="29"/>
        <v>-3.4211069391227541E-5</v>
      </c>
      <c r="BL47" s="5">
        <f t="shared" si="30"/>
        <v>8.2274981403788194E-3</v>
      </c>
      <c r="BM47" s="5">
        <f t="shared" si="31"/>
        <v>0.95801731172911353</v>
      </c>
      <c r="BN47" s="8">
        <f t="shared" si="32"/>
        <v>0.91251709878367004</v>
      </c>
      <c r="BO47" s="9">
        <f t="shared" si="33"/>
        <v>6.2517098783670066E-2</v>
      </c>
      <c r="BP47" s="10">
        <f t="shared" si="34"/>
        <v>-0.9148700508467601</v>
      </c>
      <c r="BQ47" s="10">
        <f t="shared" si="35"/>
        <v>0.91833440303987124</v>
      </c>
    </row>
    <row r="48" spans="2:69">
      <c r="B48">
        <f t="shared" si="36"/>
        <v>6400</v>
      </c>
      <c r="C48">
        <f t="shared" si="46"/>
        <v>165.60000000000036</v>
      </c>
      <c r="D48">
        <f t="shared" si="0"/>
        <v>625.60000000000036</v>
      </c>
      <c r="E48">
        <f t="shared" si="37"/>
        <v>625.20000000000039</v>
      </c>
      <c r="F48">
        <f t="shared" si="47"/>
        <v>869.0046382096973</v>
      </c>
      <c r="G48">
        <f t="shared" si="38"/>
        <v>863.70749096114605</v>
      </c>
      <c r="H48">
        <f t="shared" si="1"/>
        <v>0.91784032667661408</v>
      </c>
      <c r="I48">
        <f t="shared" si="39"/>
        <v>0.9180873648582426</v>
      </c>
      <c r="K48">
        <f t="shared" si="40"/>
        <v>-7.5928975183238044E-3</v>
      </c>
      <c r="L48">
        <f t="shared" si="41"/>
        <v>4.3815175628852746E-3</v>
      </c>
      <c r="M48">
        <f t="shared" si="48"/>
        <v>620089632.25491941</v>
      </c>
      <c r="N48">
        <f t="shared" si="49"/>
        <v>773614.64544264413</v>
      </c>
      <c r="O48">
        <f t="shared" si="50"/>
        <v>879.55366262817881</v>
      </c>
      <c r="Q48" s="2">
        <f t="shared" si="42"/>
        <v>2.6559527778949592</v>
      </c>
      <c r="R48" s="2">
        <f t="shared" si="2"/>
        <v>4.2563345799598709E-2</v>
      </c>
      <c r="W48" s="2">
        <f t="shared" si="3"/>
        <v>151492.98426972391</v>
      </c>
      <c r="X48" s="2">
        <f t="shared" si="43"/>
        <v>1197.4754300000004</v>
      </c>
      <c r="Y48" s="2">
        <f t="shared" si="4"/>
        <v>126.51030699621441</v>
      </c>
      <c r="Z48" s="2">
        <f t="shared" si="44"/>
        <v>5.2147260877109964</v>
      </c>
      <c r="AA48" s="2">
        <f t="shared" si="5"/>
        <v>1.2872449180930745</v>
      </c>
      <c r="AB48" s="2">
        <f t="shared" si="6"/>
        <v>1.093772076968178</v>
      </c>
      <c r="AC48" s="2">
        <f t="shared" si="7"/>
        <v>1.3837344124113126E-2</v>
      </c>
      <c r="AD48" s="2">
        <f t="shared" si="8"/>
        <v>3796551.9200141965</v>
      </c>
      <c r="AI48">
        <f t="shared" si="9"/>
        <v>1.3288900313474799E-6</v>
      </c>
      <c r="AK48">
        <f t="shared" si="10"/>
        <v>7.2151959794814424E-6</v>
      </c>
      <c r="AL48">
        <f t="shared" si="11"/>
        <v>-3.9946257882783489</v>
      </c>
      <c r="AM48">
        <f t="shared" si="12"/>
        <v>15.107198286130195</v>
      </c>
      <c r="AN48">
        <f t="shared" si="13"/>
        <v>228.22744005645512</v>
      </c>
      <c r="AO48">
        <f t="shared" si="14"/>
        <v>4.3815940789268659E-3</v>
      </c>
      <c r="AQ48" s="3">
        <f t="shared" si="45"/>
        <v>165.60000000000036</v>
      </c>
      <c r="AR48" s="3">
        <f t="shared" si="15"/>
        <v>625.60000000000036</v>
      </c>
      <c r="AS48">
        <f t="shared" si="51"/>
        <v>869.0046382096973</v>
      </c>
      <c r="AV48" s="3">
        <f t="shared" si="16"/>
        <v>1.6682666666666677</v>
      </c>
      <c r="AW48" s="3">
        <f t="shared" si="17"/>
        <v>1.2950888795971645</v>
      </c>
      <c r="AX48" s="4">
        <v>0.8</v>
      </c>
      <c r="AY48" s="5">
        <f t="shared" si="18"/>
        <v>0.26200397430309469</v>
      </c>
      <c r="AZ48" s="5">
        <f t="shared" si="19"/>
        <v>-0.11314553231127468</v>
      </c>
      <c r="BA48" s="5">
        <f t="shared" si="20"/>
        <v>1.1842843646507849E-2</v>
      </c>
      <c r="BB48" s="5">
        <f t="shared" si="21"/>
        <v>-4.8888988967000391E-5</v>
      </c>
      <c r="BC48" s="5">
        <f t="shared" si="22"/>
        <v>9.5179408336321311E-3</v>
      </c>
      <c r="BD48" s="5">
        <f t="shared" si="23"/>
        <v>0.95171103444002536</v>
      </c>
      <c r="BE48" s="6">
        <f t="shared" si="24"/>
        <v>0.90780452964071523</v>
      </c>
      <c r="BF48" s="7">
        <f t="shared" si="25"/>
        <v>0.10780452964071519</v>
      </c>
      <c r="BG48" s="5">
        <v>0.85</v>
      </c>
      <c r="BH48" s="5">
        <f t="shared" si="26"/>
        <v>0.24659197581467734</v>
      </c>
      <c r="BI48" s="5">
        <f t="shared" si="27"/>
        <v>-0.10648991276355263</v>
      </c>
      <c r="BJ48" s="5">
        <f t="shared" si="28"/>
        <v>1.0490546621128059E-2</v>
      </c>
      <c r="BK48" s="5">
        <f t="shared" si="29"/>
        <v>-3.6104917956569859E-5</v>
      </c>
      <c r="BL48" s="5">
        <f t="shared" si="30"/>
        <v>8.3857154146437449E-3</v>
      </c>
      <c r="BM48" s="5">
        <f t="shared" si="31"/>
        <v>0.95710489878693539</v>
      </c>
      <c r="BN48" s="8">
        <f t="shared" si="32"/>
        <v>0.91206274807872068</v>
      </c>
      <c r="BO48" s="9">
        <f t="shared" si="33"/>
        <v>6.2062748078720698E-2</v>
      </c>
      <c r="BP48" s="10">
        <f t="shared" si="34"/>
        <v>-0.91483563123989098</v>
      </c>
      <c r="BQ48" s="10">
        <f t="shared" si="35"/>
        <v>0.91784032667661408</v>
      </c>
    </row>
    <row r="49" spans="2:69">
      <c r="B49">
        <f t="shared" si="36"/>
        <v>6600</v>
      </c>
      <c r="C49">
        <f t="shared" si="46"/>
        <v>166.40000000000038</v>
      </c>
      <c r="D49">
        <f t="shared" si="0"/>
        <v>626.40000000000032</v>
      </c>
      <c r="E49">
        <f t="shared" si="37"/>
        <v>626.00000000000034</v>
      </c>
      <c r="F49">
        <f t="shared" si="47"/>
        <v>879.55366262817881</v>
      </c>
      <c r="G49">
        <f t="shared" si="38"/>
        <v>874.27915041893812</v>
      </c>
      <c r="H49">
        <f t="shared" si="1"/>
        <v>0.91736164082311644</v>
      </c>
      <c r="I49">
        <f t="shared" si="39"/>
        <v>0.91760098374986532</v>
      </c>
      <c r="K49">
        <f t="shared" si="40"/>
        <v>-7.5872136623921947E-3</v>
      </c>
      <c r="L49">
        <f t="shared" si="41"/>
        <v>4.3815940789268659E-3</v>
      </c>
      <c r="M49">
        <f t="shared" si="48"/>
        <v>621029888.43774939</v>
      </c>
      <c r="N49">
        <f t="shared" si="49"/>
        <v>792206.07958552835</v>
      </c>
      <c r="O49">
        <f t="shared" si="50"/>
        <v>890.05959327762332</v>
      </c>
      <c r="Q49" s="2">
        <f t="shared" si="42"/>
        <v>2.6861616594361721</v>
      </c>
      <c r="R49" s="2">
        <f t="shared" si="2"/>
        <v>4.3047462490964299E-2</v>
      </c>
      <c r="W49" s="2">
        <f t="shared" si="3"/>
        <v>151783.6647145068</v>
      </c>
      <c r="X49" s="2">
        <f t="shared" si="43"/>
        <v>1198.2754300000004</v>
      </c>
      <c r="Y49" s="2">
        <f t="shared" si="4"/>
        <v>126.66842773744159</v>
      </c>
      <c r="Z49" s="2">
        <f t="shared" si="44"/>
        <v>5.2127123886781597</v>
      </c>
      <c r="AA49" s="2">
        <f t="shared" si="5"/>
        <v>1.2876927647579774</v>
      </c>
      <c r="AB49" s="2">
        <f t="shared" si="6"/>
        <v>1.0950321325195185</v>
      </c>
      <c r="AC49" s="2">
        <f t="shared" si="7"/>
        <v>1.3870599854822521E-2</v>
      </c>
      <c r="AD49" s="2">
        <f t="shared" si="8"/>
        <v>3787449.4219537158</v>
      </c>
      <c r="AI49">
        <f t="shared" si="9"/>
        <v>1.3320837951672203E-6</v>
      </c>
      <c r="AK49">
        <f t="shared" si="10"/>
        <v>7.230767586892629E-6</v>
      </c>
      <c r="AL49">
        <f t="shared" si="11"/>
        <v>-3.9945589984772587</v>
      </c>
      <c r="AM49">
        <f t="shared" si="12"/>
        <v>15.107066652435273</v>
      </c>
      <c r="AN49">
        <f t="shared" si="13"/>
        <v>228.22346284112189</v>
      </c>
      <c r="AO49">
        <f t="shared" si="14"/>
        <v>4.3816704362958135E-3</v>
      </c>
      <c r="AQ49" s="3">
        <f t="shared" si="45"/>
        <v>166.40000000000038</v>
      </c>
      <c r="AR49" s="3">
        <f t="shared" si="15"/>
        <v>626.40000000000032</v>
      </c>
      <c r="AS49">
        <f t="shared" si="51"/>
        <v>879.55366262817881</v>
      </c>
      <c r="AV49" s="3">
        <f t="shared" si="16"/>
        <v>1.6704000000000008</v>
      </c>
      <c r="AW49" s="3">
        <f t="shared" si="17"/>
        <v>1.3108102274637539</v>
      </c>
      <c r="AX49" s="4">
        <v>0.8</v>
      </c>
      <c r="AY49" s="5">
        <f t="shared" si="18"/>
        <v>0.26484581643260102</v>
      </c>
      <c r="AZ49" s="5">
        <f t="shared" si="19"/>
        <v>-0.11403528358646718</v>
      </c>
      <c r="BA49" s="5">
        <f t="shared" si="20"/>
        <v>1.2128809025187058E-2</v>
      </c>
      <c r="BB49" s="5">
        <f t="shared" si="21"/>
        <v>-5.1544250639694187E-5</v>
      </c>
      <c r="BC49" s="5">
        <f t="shared" si="22"/>
        <v>9.6982847438115815E-3</v>
      </c>
      <c r="BD49" s="5">
        <f t="shared" si="23"/>
        <v>0.95068421817229376</v>
      </c>
      <c r="BE49" s="6">
        <f t="shared" si="24"/>
        <v>0.90736507593864235</v>
      </c>
      <c r="BF49" s="7">
        <f t="shared" si="25"/>
        <v>0.10736507593864231</v>
      </c>
      <c r="BG49" s="5">
        <v>0.85</v>
      </c>
      <c r="BH49" s="5">
        <f t="shared" si="26"/>
        <v>0.2492666507600951</v>
      </c>
      <c r="BI49" s="5">
        <f t="shared" si="27"/>
        <v>-0.10732732572843971</v>
      </c>
      <c r="BJ49" s="5">
        <f t="shared" si="28"/>
        <v>1.074385851366051E-2</v>
      </c>
      <c r="BK49" s="5">
        <f t="shared" si="29"/>
        <v>-3.8065850405194332E-5</v>
      </c>
      <c r="BL49" s="5">
        <f t="shared" si="30"/>
        <v>8.5436457223125855E-3</v>
      </c>
      <c r="BM49" s="5">
        <f t="shared" si="31"/>
        <v>0.95619012005384418</v>
      </c>
      <c r="BN49" s="8">
        <f t="shared" si="32"/>
        <v>0.91162394826454163</v>
      </c>
      <c r="BO49" s="9">
        <f t="shared" si="33"/>
        <v>6.162394826454165E-2</v>
      </c>
      <c r="BP49" s="10">
        <f t="shared" si="34"/>
        <v>-0.91482255348201436</v>
      </c>
      <c r="BQ49" s="10">
        <f t="shared" si="35"/>
        <v>0.91736164082311644</v>
      </c>
    </row>
    <row r="50" spans="2:69">
      <c r="B50">
        <f t="shared" si="36"/>
        <v>6800</v>
      </c>
      <c r="C50">
        <f t="shared" si="46"/>
        <v>167.20000000000039</v>
      </c>
      <c r="D50">
        <f t="shared" si="0"/>
        <v>627.20000000000039</v>
      </c>
      <c r="E50">
        <f t="shared" si="37"/>
        <v>626.80000000000041</v>
      </c>
      <c r="F50">
        <f t="shared" si="47"/>
        <v>890.05959327762332</v>
      </c>
      <c r="G50">
        <f t="shared" si="38"/>
        <v>884.80662795290107</v>
      </c>
      <c r="H50">
        <f t="shared" si="1"/>
        <v>0.91689799031187769</v>
      </c>
      <c r="I50">
        <f t="shared" si="39"/>
        <v>0.91712981556749706</v>
      </c>
      <c r="K50">
        <f t="shared" si="40"/>
        <v>-7.5814228140964803E-3</v>
      </c>
      <c r="L50">
        <f t="shared" si="41"/>
        <v>4.3816704362958135E-3</v>
      </c>
      <c r="M50">
        <f t="shared" si="48"/>
        <v>621989800.96141863</v>
      </c>
      <c r="N50">
        <f t="shared" si="49"/>
        <v>810944.36971402797</v>
      </c>
      <c r="O50">
        <f t="shared" si="50"/>
        <v>900.52449700939724</v>
      </c>
      <c r="Q50" s="2">
        <f t="shared" si="42"/>
        <v>2.7161524677400677</v>
      </c>
      <c r="R50" s="2">
        <f t="shared" si="2"/>
        <v>4.3528084418911345E-2</v>
      </c>
      <c r="W50" s="2">
        <f t="shared" si="3"/>
        <v>152074.53083830237</v>
      </c>
      <c r="X50" s="2">
        <f t="shared" si="43"/>
        <v>1199.0754300000003</v>
      </c>
      <c r="Y50" s="2">
        <f t="shared" si="4"/>
        <v>126.82649234027114</v>
      </c>
      <c r="Z50" s="2">
        <f t="shared" si="44"/>
        <v>5.2107038266326517</v>
      </c>
      <c r="AA50" s="2">
        <f t="shared" si="5"/>
        <v>1.2881394689568983</v>
      </c>
      <c r="AB50" s="2">
        <f t="shared" si="6"/>
        <v>1.0962844745901259</v>
      </c>
      <c r="AC50" s="2">
        <f t="shared" si="7"/>
        <v>1.3903791451936277E-2</v>
      </c>
      <c r="AD50" s="2">
        <f t="shared" si="8"/>
        <v>3778407.8957098285</v>
      </c>
      <c r="AI50">
        <f t="shared" si="9"/>
        <v>1.3352713998212167E-6</v>
      </c>
      <c r="AK50">
        <f t="shared" si="10"/>
        <v>7.2463053716117497E-6</v>
      </c>
      <c r="AL50">
        <f t="shared" si="11"/>
        <v>-3.994492363985132</v>
      </c>
      <c r="AM50">
        <f t="shared" si="12"/>
        <v>15.106935286592213</v>
      </c>
      <c r="AN50">
        <f t="shared" si="13"/>
        <v>228.21949375328495</v>
      </c>
      <c r="AO50">
        <f t="shared" si="14"/>
        <v>4.3817466402806191E-3</v>
      </c>
      <c r="AQ50" s="3">
        <f t="shared" si="45"/>
        <v>167.20000000000039</v>
      </c>
      <c r="AR50" s="3">
        <f t="shared" si="15"/>
        <v>627.20000000000039</v>
      </c>
      <c r="AS50">
        <f t="shared" si="51"/>
        <v>890.05959327762332</v>
      </c>
      <c r="AV50" s="3">
        <f t="shared" si="16"/>
        <v>1.6725333333333343</v>
      </c>
      <c r="AW50" s="3">
        <f t="shared" si="17"/>
        <v>1.3264673521276056</v>
      </c>
      <c r="AX50" s="4">
        <v>0.8</v>
      </c>
      <c r="AY50" s="5">
        <f t="shared" si="18"/>
        <v>0.26766744938400827</v>
      </c>
      <c r="AZ50" s="5">
        <f t="shared" si="19"/>
        <v>-0.1149103103661924</v>
      </c>
      <c r="BA50" s="5">
        <f t="shared" si="20"/>
        <v>1.2416822994088155E-2</v>
      </c>
      <c r="BB50" s="5">
        <f t="shared" si="21"/>
        <v>-5.429200342339758E-5</v>
      </c>
      <c r="BC50" s="5">
        <f t="shared" si="22"/>
        <v>9.8783526588463299E-3</v>
      </c>
      <c r="BD50" s="5">
        <f t="shared" si="23"/>
        <v>0.94965485820285533</v>
      </c>
      <c r="BE50" s="6">
        <f t="shared" si="24"/>
        <v>0.90694183022483377</v>
      </c>
      <c r="BF50" s="7">
        <f t="shared" si="25"/>
        <v>0.10694183022483372</v>
      </c>
      <c r="BG50" s="5">
        <v>0.85</v>
      </c>
      <c r="BH50" s="5">
        <f t="shared" si="26"/>
        <v>0.25192230530259602</v>
      </c>
      <c r="BI50" s="5">
        <f t="shared" si="27"/>
        <v>-0.10815088034465167</v>
      </c>
      <c r="BJ50" s="5">
        <f t="shared" si="28"/>
        <v>1.0998985074347985E-2</v>
      </c>
      <c r="BK50" s="5">
        <f t="shared" si="29"/>
        <v>-4.0095088295294905E-5</v>
      </c>
      <c r="BL50" s="5">
        <f t="shared" si="30"/>
        <v>8.7012957360666186E-3</v>
      </c>
      <c r="BM50" s="5">
        <f t="shared" si="31"/>
        <v>0.95527296191898159</v>
      </c>
      <c r="BN50" s="8">
        <f t="shared" si="32"/>
        <v>0.91120031236831689</v>
      </c>
      <c r="BO50" s="9">
        <f t="shared" si="33"/>
        <v>6.1200312368316911E-2</v>
      </c>
      <c r="BP50" s="10">
        <f t="shared" si="34"/>
        <v>-0.91483035713033745</v>
      </c>
      <c r="BQ50" s="10">
        <f t="shared" si="35"/>
        <v>0.91689799031187769</v>
      </c>
    </row>
    <row r="51" spans="2:69">
      <c r="B51">
        <f t="shared" si="36"/>
        <v>7000</v>
      </c>
      <c r="C51">
        <f t="shared" si="46"/>
        <v>168.0000000000004</v>
      </c>
      <c r="D51">
        <f t="shared" si="0"/>
        <v>628.00000000000045</v>
      </c>
      <c r="E51">
        <f t="shared" si="37"/>
        <v>627.60000000000036</v>
      </c>
      <c r="F51">
        <f t="shared" si="47"/>
        <v>900.52449700939724</v>
      </c>
      <c r="G51">
        <f t="shared" si="38"/>
        <v>895.29204514351022</v>
      </c>
      <c r="H51">
        <f t="shared" si="1"/>
        <v>0.91644903579678261</v>
      </c>
      <c r="I51">
        <f t="shared" si="39"/>
        <v>0.9166735130543302</v>
      </c>
      <c r="K51">
        <f t="shared" si="40"/>
        <v>-7.5755278716814912E-3</v>
      </c>
      <c r="L51">
        <f t="shared" si="41"/>
        <v>4.3817466402806191E-3</v>
      </c>
      <c r="M51">
        <f t="shared" si="48"/>
        <v>622969021.97608936</v>
      </c>
      <c r="N51">
        <f t="shared" si="49"/>
        <v>829830.51936790114</v>
      </c>
      <c r="O51">
        <f t="shared" si="50"/>
        <v>910.95033858487648</v>
      </c>
      <c r="Q51" s="2">
        <f t="shared" si="42"/>
        <v>2.7459314989623946</v>
      </c>
      <c r="R51" s="2">
        <f t="shared" si="2"/>
        <v>4.4005312483371709E-2</v>
      </c>
      <c r="W51" s="2">
        <f t="shared" si="3"/>
        <v>152365.58252265508</v>
      </c>
      <c r="X51" s="2">
        <f t="shared" si="43"/>
        <v>1199.8754300000005</v>
      </c>
      <c r="Y51" s="2">
        <f t="shared" si="4"/>
        <v>126.98450081826829</v>
      </c>
      <c r="Z51" s="2">
        <f t="shared" si="44"/>
        <v>5.2087003819426734</v>
      </c>
      <c r="AA51" s="2">
        <f t="shared" si="5"/>
        <v>1.2885850350559496</v>
      </c>
      <c r="AB51" s="2">
        <f t="shared" si="6"/>
        <v>1.097529304549028</v>
      </c>
      <c r="AC51" s="2">
        <f t="shared" si="7"/>
        <v>1.3936921087157949E-2</v>
      </c>
      <c r="AD51" s="2">
        <f t="shared" si="8"/>
        <v>3769426.1934729624</v>
      </c>
      <c r="AI51">
        <f t="shared" si="9"/>
        <v>1.3384530538722667E-6</v>
      </c>
      <c r="AK51">
        <f t="shared" si="10"/>
        <v>7.261810381797589E-6</v>
      </c>
      <c r="AL51">
        <f t="shared" si="11"/>
        <v>-3.9944258802380217</v>
      </c>
      <c r="AM51">
        <f t="shared" si="12"/>
        <v>15.106804179921856</v>
      </c>
      <c r="AN51">
        <f t="shared" si="13"/>
        <v>228.21553253050445</v>
      </c>
      <c r="AO51">
        <f t="shared" si="14"/>
        <v>4.3818226959040788E-3</v>
      </c>
      <c r="AQ51" s="3">
        <f t="shared" si="45"/>
        <v>168.0000000000004</v>
      </c>
      <c r="AR51" s="3">
        <f t="shared" si="15"/>
        <v>628.00000000000045</v>
      </c>
      <c r="AS51">
        <f t="shared" si="51"/>
        <v>900.52449700939724</v>
      </c>
      <c r="AV51" s="3">
        <f t="shared" si="16"/>
        <v>1.6746666666666679</v>
      </c>
      <c r="AW51" s="3">
        <f t="shared" si="17"/>
        <v>1.3420633338441093</v>
      </c>
      <c r="AX51" s="4">
        <v>0.8</v>
      </c>
      <c r="AY51" s="5">
        <f t="shared" si="18"/>
        <v>0.27046957116185499</v>
      </c>
      <c r="AZ51" s="5">
        <f t="shared" si="19"/>
        <v>-0.11577101981552686</v>
      </c>
      <c r="BA51" s="5">
        <f t="shared" si="20"/>
        <v>1.2706894602833831E-2</v>
      </c>
      <c r="BB51" s="5">
        <f t="shared" si="21"/>
        <v>-5.713391489826498E-5</v>
      </c>
      <c r="BC51" s="5">
        <f t="shared" si="22"/>
        <v>1.0058152004120212E-2</v>
      </c>
      <c r="BD51" s="5">
        <f t="shared" si="23"/>
        <v>0.94862294095808597</v>
      </c>
      <c r="BE51" s="6">
        <f t="shared" si="24"/>
        <v>0.90653440243695715</v>
      </c>
      <c r="BF51" s="7">
        <f t="shared" si="25"/>
        <v>0.10653440243695711</v>
      </c>
      <c r="BG51" s="5">
        <v>0.85</v>
      </c>
      <c r="BH51" s="5">
        <f t="shared" si="26"/>
        <v>0.25455959638762826</v>
      </c>
      <c r="BI51" s="5">
        <f t="shared" si="27"/>
        <v>-0.10896095982637823</v>
      </c>
      <c r="BJ51" s="5">
        <f t="shared" si="28"/>
        <v>1.1255934319465265E-2</v>
      </c>
      <c r="BK51" s="5">
        <f t="shared" si="29"/>
        <v>-4.2193863148446029E-5</v>
      </c>
      <c r="BL51" s="5">
        <f t="shared" si="30"/>
        <v>8.8586719898393392E-3</v>
      </c>
      <c r="BM51" s="5">
        <f t="shared" si="31"/>
        <v>0.95435341130797313</v>
      </c>
      <c r="BN51" s="8">
        <f t="shared" si="32"/>
        <v>0.91079147218939704</v>
      </c>
      <c r="BO51" s="9">
        <f t="shared" si="33"/>
        <v>6.0791472189397067E-2</v>
      </c>
      <c r="BP51" s="10">
        <f t="shared" si="34"/>
        <v>-0.91485860495120208</v>
      </c>
      <c r="BQ51" s="10">
        <f t="shared" si="35"/>
        <v>0.91644903579678261</v>
      </c>
    </row>
    <row r="52" spans="2:69">
      <c r="B52">
        <f t="shared" si="36"/>
        <v>7200</v>
      </c>
      <c r="C52">
        <f t="shared" si="46"/>
        <v>168.80000000000041</v>
      </c>
      <c r="D52">
        <f t="shared" si="0"/>
        <v>628.80000000000041</v>
      </c>
      <c r="E52">
        <f t="shared" si="37"/>
        <v>628.40000000000043</v>
      </c>
      <c r="F52">
        <f t="shared" si="47"/>
        <v>910.95033858487648</v>
      </c>
      <c r="G52">
        <f t="shared" si="38"/>
        <v>905.73741779713691</v>
      </c>
      <c r="H52">
        <f t="shared" si="1"/>
        <v>0.91601445272682525</v>
      </c>
      <c r="I52">
        <f t="shared" si="39"/>
        <v>0.91623174426180398</v>
      </c>
      <c r="K52">
        <f t="shared" si="40"/>
        <v>-7.5695316145501677E-3</v>
      </c>
      <c r="L52">
        <f t="shared" si="41"/>
        <v>4.3818226959040788E-3</v>
      </c>
      <c r="M52">
        <f t="shared" si="48"/>
        <v>623967221.6324234</v>
      </c>
      <c r="N52">
        <f t="shared" si="49"/>
        <v>848865.52974119794</v>
      </c>
      <c r="O52">
        <f t="shared" si="50"/>
        <v>921.33898742058989</v>
      </c>
      <c r="Q52" s="2">
        <f t="shared" si="42"/>
        <v>2.7755047345197821</v>
      </c>
      <c r="R52" s="2">
        <f t="shared" si="2"/>
        <v>4.4479242540381124E-2</v>
      </c>
      <c r="W52" s="2">
        <f t="shared" si="3"/>
        <v>152656.81964933543</v>
      </c>
      <c r="X52" s="2">
        <f t="shared" si="43"/>
        <v>1200.6754300000005</v>
      </c>
      <c r="Y52" s="2">
        <f t="shared" si="4"/>
        <v>127.14245318515044</v>
      </c>
      <c r="Z52" s="2">
        <f t="shared" si="44"/>
        <v>5.2067020350763347</v>
      </c>
      <c r="AA52" s="2">
        <f t="shared" si="5"/>
        <v>1.2890294673990232</v>
      </c>
      <c r="AB52" s="2">
        <f t="shared" si="6"/>
        <v>1.0987668142812697</v>
      </c>
      <c r="AC52" s="2">
        <f t="shared" si="7"/>
        <v>1.3969990824615322E-2</v>
      </c>
      <c r="AD52" s="2">
        <f t="shared" si="8"/>
        <v>3760503.2144854991</v>
      </c>
      <c r="AI52">
        <f t="shared" si="9"/>
        <v>1.3416289555519685E-6</v>
      </c>
      <c r="AK52">
        <f t="shared" si="10"/>
        <v>7.2772836140921248E-6</v>
      </c>
      <c r="AL52">
        <f t="shared" si="11"/>
        <v>-3.9943595428957619</v>
      </c>
      <c r="AM52">
        <f t="shared" si="12"/>
        <v>15.106673324174546</v>
      </c>
      <c r="AN52">
        <f t="shared" si="13"/>
        <v>228.21157892332681</v>
      </c>
      <c r="AO52">
        <f t="shared" si="14"/>
        <v>4.3818986079403712E-3</v>
      </c>
      <c r="AQ52" s="3">
        <f t="shared" si="45"/>
        <v>168.80000000000041</v>
      </c>
      <c r="AR52" s="3">
        <f t="shared" si="15"/>
        <v>628.80000000000041</v>
      </c>
      <c r="AS52">
        <f t="shared" si="51"/>
        <v>910.95033858487648</v>
      </c>
      <c r="AV52" s="3">
        <f t="shared" si="16"/>
        <v>1.6768000000000012</v>
      </c>
      <c r="AW52" s="3">
        <f t="shared" si="17"/>
        <v>1.3576011007226176</v>
      </c>
      <c r="AX52" s="4">
        <v>0.8</v>
      </c>
      <c r="AY52" s="5">
        <f t="shared" si="18"/>
        <v>0.27325284559511159</v>
      </c>
      <c r="AZ52" s="5">
        <f t="shared" si="19"/>
        <v>-0.11661780023596116</v>
      </c>
      <c r="BA52" s="5">
        <f t="shared" si="20"/>
        <v>1.299903282391183E-2</v>
      </c>
      <c r="BB52" s="5">
        <f t="shared" si="21"/>
        <v>-6.0071666339359579E-5</v>
      </c>
      <c r="BC52" s="5">
        <f t="shared" si="22"/>
        <v>1.0237690055699567E-2</v>
      </c>
      <c r="BD52" s="5">
        <f t="shared" si="23"/>
        <v>0.94758845345943565</v>
      </c>
      <c r="BE52" s="6">
        <f t="shared" si="24"/>
        <v>0.90614242114116739</v>
      </c>
      <c r="BF52" s="7">
        <f t="shared" si="25"/>
        <v>0.10614242114116734</v>
      </c>
      <c r="BG52" s="5">
        <v>0.85</v>
      </c>
      <c r="BH52" s="5">
        <f t="shared" si="26"/>
        <v>0.25717914879539916</v>
      </c>
      <c r="BI52" s="5">
        <f t="shared" si="27"/>
        <v>-0.1097579296338458</v>
      </c>
      <c r="BJ52" s="5">
        <f t="shared" si="28"/>
        <v>1.1514714196959961E-2</v>
      </c>
      <c r="BK52" s="5">
        <f t="shared" si="29"/>
        <v>-4.4363416600024032E-5</v>
      </c>
      <c r="BL52" s="5">
        <f t="shared" si="30"/>
        <v>9.0157808834235645E-3</v>
      </c>
      <c r="BM52" s="5">
        <f t="shared" si="31"/>
        <v>0.95343145566635723</v>
      </c>
      <c r="BN52" s="8">
        <f t="shared" si="32"/>
        <v>0.91039707707136563</v>
      </c>
      <c r="BO52" s="9">
        <f t="shared" si="33"/>
        <v>6.0397077071365657E-2</v>
      </c>
      <c r="BP52" s="10">
        <f t="shared" si="34"/>
        <v>-0.91490688139603493</v>
      </c>
      <c r="BQ52" s="10">
        <f t="shared" si="35"/>
        <v>0.91601445272682525</v>
      </c>
    </row>
    <row r="53" spans="2:69">
      <c r="B53">
        <f t="shared" si="36"/>
        <v>7400</v>
      </c>
      <c r="C53">
        <f t="shared" si="46"/>
        <v>169.60000000000042</v>
      </c>
      <c r="D53">
        <f t="shared" si="0"/>
        <v>629.60000000000036</v>
      </c>
      <c r="E53">
        <f t="shared" si="37"/>
        <v>629.20000000000039</v>
      </c>
      <c r="F53">
        <f t="shared" si="47"/>
        <v>921.33898742058989</v>
      </c>
      <c r="G53">
        <f t="shared" si="38"/>
        <v>916.14466300273318</v>
      </c>
      <c r="H53">
        <f t="shared" si="1"/>
        <v>0.91559393040423998</v>
      </c>
      <c r="I53">
        <f t="shared" si="39"/>
        <v>0.91580419156553261</v>
      </c>
      <c r="K53">
        <f t="shared" si="40"/>
        <v>-7.5634367107655217E-3</v>
      </c>
      <c r="L53">
        <f t="shared" si="41"/>
        <v>4.3818986079403712E-3</v>
      </c>
      <c r="M53">
        <f t="shared" si="48"/>
        <v>624984086.89166176</v>
      </c>
      <c r="N53">
        <f t="shared" si="49"/>
        <v>868050.39983962954</v>
      </c>
      <c r="O53">
        <f t="shared" si="50"/>
        <v>931.69222377329606</v>
      </c>
      <c r="Q53" s="2">
        <f t="shared" si="42"/>
        <v>2.8048778618478591</v>
      </c>
      <c r="R53" s="2">
        <f t="shared" si="2"/>
        <v>4.4949965734741332E-2</v>
      </c>
      <c r="W53" s="2">
        <f t="shared" si="3"/>
        <v>152948.24210034031</v>
      </c>
      <c r="X53" s="2">
        <f t="shared" si="43"/>
        <v>1201.4754300000004</v>
      </c>
      <c r="Y53" s="2">
        <f t="shared" si="4"/>
        <v>127.30034945478683</v>
      </c>
      <c r="Z53" s="2">
        <f t="shared" si="44"/>
        <v>5.2047087666010157</v>
      </c>
      <c r="AA53" s="2">
        <f t="shared" si="5"/>
        <v>1.2894727703079343</v>
      </c>
      <c r="AB53" s="2">
        <f t="shared" si="6"/>
        <v>1.0999971867808951</v>
      </c>
      <c r="AC53" s="2">
        <f t="shared" si="7"/>
        <v>1.4003002627649036E-2</v>
      </c>
      <c r="AD53" s="2">
        <f t="shared" si="8"/>
        <v>3751637.9021860412</v>
      </c>
      <c r="AI53">
        <f t="shared" si="9"/>
        <v>1.3447992934126754E-6</v>
      </c>
      <c r="AK53">
        <f t="shared" si="10"/>
        <v>7.2927260168689211E-6</v>
      </c>
      <c r="AL53">
        <f t="shared" si="11"/>
        <v>-3.9942933478278588</v>
      </c>
      <c r="AM53">
        <f t="shared" si="12"/>
        <v>15.106542711503032</v>
      </c>
      <c r="AN53">
        <f t="shared" si="13"/>
        <v>228.20763269446536</v>
      </c>
      <c r="AO53">
        <f t="shared" si="14"/>
        <v>4.3819743809307421E-3</v>
      </c>
      <c r="AQ53" s="3">
        <f t="shared" si="45"/>
        <v>169.60000000000042</v>
      </c>
      <c r="AR53" s="3">
        <f t="shared" si="15"/>
        <v>629.60000000000036</v>
      </c>
      <c r="AS53">
        <f t="shared" si="51"/>
        <v>921.33898742058989</v>
      </c>
      <c r="AV53" s="3">
        <f t="shared" si="16"/>
        <v>1.6789333333333343</v>
      </c>
      <c r="AW53" s="3">
        <f t="shared" si="17"/>
        <v>1.3730834387788224</v>
      </c>
      <c r="AX53" s="4">
        <v>0.8</v>
      </c>
      <c r="AY53" s="5">
        <f t="shared" si="18"/>
        <v>0.27601790457503911</v>
      </c>
      <c r="AZ53" s="5">
        <f t="shared" si="19"/>
        <v>-0.1174510222696265</v>
      </c>
      <c r="BA53" s="5">
        <f t="shared" si="20"/>
        <v>1.3293246555103198E-2</v>
      </c>
      <c r="BB53" s="5">
        <f t="shared" si="21"/>
        <v>-6.3106952911700355E-5</v>
      </c>
      <c r="BC53" s="5">
        <f t="shared" si="22"/>
        <v>1.0416973945158633E-2</v>
      </c>
      <c r="BD53" s="5">
        <f t="shared" si="23"/>
        <v>0.94655138330570321</v>
      </c>
      <c r="BE53" s="6">
        <f t="shared" si="24"/>
        <v>0.90576553233603774</v>
      </c>
      <c r="BF53" s="7">
        <f t="shared" si="25"/>
        <v>0.10576553233603769</v>
      </c>
      <c r="BG53" s="5">
        <v>0.85</v>
      </c>
      <c r="BH53" s="5">
        <f t="shared" si="26"/>
        <v>0.25978155724709567</v>
      </c>
      <c r="BI53" s="5">
        <f t="shared" si="27"/>
        <v>-0.11054213860670732</v>
      </c>
      <c r="BJ53" s="5">
        <f t="shared" si="28"/>
        <v>1.1775332588603528E-2</v>
      </c>
      <c r="BK53" s="5">
        <f t="shared" si="29"/>
        <v>-4.6605000543251301E-5</v>
      </c>
      <c r="BL53" s="5">
        <f t="shared" si="30"/>
        <v>9.1726286868202295E-3</v>
      </c>
      <c r="BM53" s="5">
        <f t="shared" si="31"/>
        <v>0.95250708294403896</v>
      </c>
      <c r="BN53" s="8">
        <f t="shared" si="32"/>
        <v>0.91001679277585135</v>
      </c>
      <c r="BO53" s="9">
        <f t="shared" si="33"/>
        <v>6.0016792775851369E-2</v>
      </c>
      <c r="BP53" s="10">
        <f t="shared" si="34"/>
        <v>-0.91497479120372771</v>
      </c>
      <c r="BQ53" s="10">
        <f t="shared" si="35"/>
        <v>0.91559393040423998</v>
      </c>
    </row>
    <row r="54" spans="2:69">
      <c r="B54">
        <f t="shared" si="36"/>
        <v>7600</v>
      </c>
      <c r="C54">
        <f t="shared" si="46"/>
        <v>170.40000000000043</v>
      </c>
      <c r="D54">
        <f t="shared" si="0"/>
        <v>630.40000000000043</v>
      </c>
      <c r="E54">
        <f t="shared" si="37"/>
        <v>630.00000000000045</v>
      </c>
      <c r="F54">
        <f t="shared" si="47"/>
        <v>931.69222377329606</v>
      </c>
      <c r="G54">
        <f t="shared" si="38"/>
        <v>926.51560559694303</v>
      </c>
      <c r="H54">
        <f t="shared" si="1"/>
        <v>0.91518717111863623</v>
      </c>
      <c r="I54">
        <f t="shared" si="39"/>
        <v>0.91539055076143816</v>
      </c>
      <c r="K54">
        <f t="shared" si="40"/>
        <v>-7.557245723943869E-3</v>
      </c>
      <c r="L54">
        <f t="shared" si="41"/>
        <v>4.3819743809307421E-3</v>
      </c>
      <c r="M54">
        <f t="shared" si="48"/>
        <v>626019320.43398309</v>
      </c>
      <c r="N54">
        <f t="shared" si="49"/>
        <v>887386.12662639725</v>
      </c>
      <c r="O54">
        <f t="shared" si="50"/>
        <v>942.01174442062938</v>
      </c>
      <c r="Q54" s="2">
        <f t="shared" si="42"/>
        <v>2.8340562934471709</v>
      </c>
      <c r="R54" s="2">
        <f t="shared" si="2"/>
        <v>4.5417568805243128E-2</v>
      </c>
      <c r="W54" s="2">
        <f t="shared" si="3"/>
        <v>153239.84975789121</v>
      </c>
      <c r="X54" s="2">
        <f t="shared" si="43"/>
        <v>1202.2754300000006</v>
      </c>
      <c r="Y54" s="2">
        <f t="shared" si="4"/>
        <v>127.45818964119655</v>
      </c>
      <c r="Z54" s="2">
        <f t="shared" si="44"/>
        <v>5.2027205571827402</v>
      </c>
      <c r="AA54" s="2">
        <f t="shared" si="5"/>
        <v>1.2899149480825587</v>
      </c>
      <c r="AB54" s="2">
        <f t="shared" si="6"/>
        <v>1.1012205966968169</v>
      </c>
      <c r="AC54" s="2">
        <f t="shared" si="7"/>
        <v>1.4035958365057452E-2</v>
      </c>
      <c r="AD54" s="2">
        <f t="shared" si="8"/>
        <v>3742829.2415773217</v>
      </c>
      <c r="AI54">
        <f t="shared" si="9"/>
        <v>1.3479642469272327E-6</v>
      </c>
      <c r="AK54">
        <f t="shared" si="10"/>
        <v>7.3081384932218008E-6</v>
      </c>
      <c r="AL54">
        <f t="shared" si="11"/>
        <v>-3.9942272911005099</v>
      </c>
      <c r="AM54">
        <f t="shared" si="12"/>
        <v>15.106412334437529</v>
      </c>
      <c r="AN54">
        <f t="shared" si="13"/>
        <v>228.20369361804632</v>
      </c>
      <c r="AO54">
        <f t="shared" si="14"/>
        <v>4.3820500191979368E-3</v>
      </c>
      <c r="AQ54" s="3">
        <f t="shared" si="45"/>
        <v>170.40000000000043</v>
      </c>
      <c r="AR54" s="3">
        <f t="shared" si="15"/>
        <v>630.40000000000043</v>
      </c>
      <c r="AS54">
        <f t="shared" si="51"/>
        <v>931.69222377329606</v>
      </c>
      <c r="AV54" s="3">
        <f t="shared" si="16"/>
        <v>1.6810666666666678</v>
      </c>
      <c r="AW54" s="3">
        <f t="shared" si="17"/>
        <v>1.3885130011524531</v>
      </c>
      <c r="AX54" s="4">
        <v>0.8</v>
      </c>
      <c r="AY54" s="5">
        <f t="shared" si="18"/>
        <v>0.27876535010843473</v>
      </c>
      <c r="AZ54" s="5">
        <f t="shared" si="19"/>
        <v>-0.11827104000575428</v>
      </c>
      <c r="BA54" s="5">
        <f t="shared" si="20"/>
        <v>1.3589544621721536E-2</v>
      </c>
      <c r="BB54" s="5">
        <f t="shared" si="21"/>
        <v>-6.6241483857189617E-5</v>
      </c>
      <c r="BC54" s="5">
        <f t="shared" si="22"/>
        <v>1.0596010664138528E-2</v>
      </c>
      <c r="BD54" s="5">
        <f t="shared" si="23"/>
        <v>0.94551171865637673</v>
      </c>
      <c r="BE54" s="6">
        <f t="shared" si="24"/>
        <v>0.90540339835377537</v>
      </c>
      <c r="BF54" s="7">
        <f t="shared" si="25"/>
        <v>0.10540339835377532</v>
      </c>
      <c r="BG54" s="5">
        <v>0.85</v>
      </c>
      <c r="BH54" s="5">
        <f t="shared" si="26"/>
        <v>0.26236738833735035</v>
      </c>
      <c r="BI54" s="5">
        <f t="shared" si="27"/>
        <v>-0.1113139200054158</v>
      </c>
      <c r="BJ54" s="5">
        <f t="shared" si="28"/>
        <v>1.2037797311974786E-2</v>
      </c>
      <c r="BK54" s="5">
        <f t="shared" si="29"/>
        <v>-4.8919877267243438E-5</v>
      </c>
      <c r="BL54" s="5">
        <f t="shared" si="30"/>
        <v>9.3292215443487193E-3</v>
      </c>
      <c r="BM54" s="5">
        <f t="shared" si="31"/>
        <v>0.9515802815806863</v>
      </c>
      <c r="BN54" s="8">
        <f t="shared" si="32"/>
        <v>0.90965030044792616</v>
      </c>
      <c r="BO54" s="9">
        <f t="shared" si="33"/>
        <v>5.9650300447926186E-2</v>
      </c>
      <c r="BP54" s="10">
        <f t="shared" si="34"/>
        <v>-0.91506195811698399</v>
      </c>
      <c r="BQ54" s="10">
        <f t="shared" si="35"/>
        <v>0.91518717111863623</v>
      </c>
    </row>
    <row r="55" spans="2:69">
      <c r="B55">
        <f t="shared" si="36"/>
        <v>7800</v>
      </c>
      <c r="C55">
        <f t="shared" si="46"/>
        <v>171.20000000000044</v>
      </c>
      <c r="D55">
        <f t="shared" si="0"/>
        <v>631.2000000000005</v>
      </c>
      <c r="E55">
        <f t="shared" si="37"/>
        <v>630.80000000000041</v>
      </c>
      <c r="F55">
        <f t="shared" si="47"/>
        <v>942.01174442062938</v>
      </c>
      <c r="G55">
        <f t="shared" si="38"/>
        <v>936.85198409696272</v>
      </c>
      <c r="H55">
        <f t="shared" si="1"/>
        <v>0.91479388934972361</v>
      </c>
      <c r="I55">
        <f t="shared" si="39"/>
        <v>0.91499053023417987</v>
      </c>
      <c r="K55">
        <f t="shared" si="40"/>
        <v>-7.5509611195991918E-3</v>
      </c>
      <c r="L55">
        <f t="shared" si="41"/>
        <v>4.3820500191979368E-3</v>
      </c>
      <c r="M55">
        <f t="shared" si="48"/>
        <v>627072639.65534604</v>
      </c>
      <c r="N55">
        <f t="shared" si="49"/>
        <v>906873.7051574135</v>
      </c>
      <c r="O55">
        <f t="shared" si="50"/>
        <v>952.29916788654896</v>
      </c>
      <c r="Q55" s="2">
        <f t="shared" si="42"/>
        <v>2.8630451843863525</v>
      </c>
      <c r="R55" s="2">
        <f t="shared" si="2"/>
        <v>4.5882134365165909E-2</v>
      </c>
      <c r="W55" s="2">
        <f t="shared" si="3"/>
        <v>153531.64250443343</v>
      </c>
      <c r="X55" s="2">
        <f t="shared" si="43"/>
        <v>1203.0754300000006</v>
      </c>
      <c r="Y55" s="2">
        <f t="shared" si="4"/>
        <v>127.6159737585476</v>
      </c>
      <c r="Z55" s="2">
        <f t="shared" si="44"/>
        <v>5.2007373875855496</v>
      </c>
      <c r="AA55" s="2">
        <f t="shared" si="5"/>
        <v>1.2903560050009739</v>
      </c>
      <c r="AB55" s="2">
        <f t="shared" si="6"/>
        <v>1.1024372108361096</v>
      </c>
      <c r="AC55" s="2">
        <f t="shared" si="7"/>
        <v>1.4068859816850736E-2</v>
      </c>
      <c r="AD55" s="2">
        <f t="shared" si="8"/>
        <v>3734076.2567963693</v>
      </c>
      <c r="AI55">
        <f t="shared" si="9"/>
        <v>1.3511239870415776E-6</v>
      </c>
      <c r="AK55">
        <f t="shared" si="10"/>
        <v>7.3235219037187479E-6</v>
      </c>
      <c r="AL55">
        <f t="shared" si="11"/>
        <v>-3.994161368964642</v>
      </c>
      <c r="AM55">
        <f t="shared" si="12"/>
        <v>15.106282185862749</v>
      </c>
      <c r="AN55">
        <f t="shared" si="13"/>
        <v>228.19976147891424</v>
      </c>
      <c r="AO55">
        <f t="shared" si="14"/>
        <v>4.3821255268595028E-3</v>
      </c>
      <c r="AQ55" s="3">
        <f t="shared" si="45"/>
        <v>171.20000000000044</v>
      </c>
      <c r="AR55" s="3">
        <f t="shared" si="15"/>
        <v>631.2000000000005</v>
      </c>
      <c r="AS55">
        <f t="shared" si="51"/>
        <v>942.01174442062938</v>
      </c>
      <c r="AV55" s="3">
        <f t="shared" si="16"/>
        <v>1.6832000000000014</v>
      </c>
      <c r="AW55" s="3">
        <f t="shared" si="17"/>
        <v>1.4038923165732182</v>
      </c>
      <c r="AX55" s="4">
        <v>0.8</v>
      </c>
      <c r="AY55" s="5">
        <f t="shared" si="18"/>
        <v>0.28149575620452755</v>
      </c>
      <c r="AZ55" s="5">
        <f t="shared" si="19"/>
        <v>-0.11907819199894332</v>
      </c>
      <c r="BA55" s="5">
        <f t="shared" si="20"/>
        <v>1.388793577867913E-2</v>
      </c>
      <c r="BB55" s="5">
        <f t="shared" si="21"/>
        <v>-6.9476982673893372E-5</v>
      </c>
      <c r="BC55" s="5">
        <f t="shared" si="22"/>
        <v>1.0774807068660259E-2</v>
      </c>
      <c r="BD55" s="5">
        <f t="shared" si="23"/>
        <v>0.94446944821595424</v>
      </c>
      <c r="BE55" s="6">
        <f t="shared" si="24"/>
        <v>0.90505569684918064</v>
      </c>
      <c r="BF55" s="7">
        <f t="shared" si="25"/>
        <v>0.10505569684918059</v>
      </c>
      <c r="BG55" s="5">
        <v>0.85</v>
      </c>
      <c r="BH55" s="5">
        <f t="shared" si="26"/>
        <v>0.26493718231014357</v>
      </c>
      <c r="BI55" s="5">
        <f t="shared" si="27"/>
        <v>-0.1120735924695937</v>
      </c>
      <c r="BJ55" s="5">
        <f t="shared" si="28"/>
        <v>1.2302116122290164E-2</v>
      </c>
      <c r="BK55" s="5">
        <f t="shared" si="29"/>
        <v>-5.1309319589409651E-5</v>
      </c>
      <c r="BL55" s="5">
        <f t="shared" si="30"/>
        <v>9.4855654785370742E-3</v>
      </c>
      <c r="BM55" s="5">
        <f t="shared" si="31"/>
        <v>0.95065104049199101</v>
      </c>
      <c r="BN55" s="8">
        <f t="shared" si="32"/>
        <v>0.90929729566411199</v>
      </c>
      <c r="BO55" s="9">
        <f t="shared" si="33"/>
        <v>5.9297295664112015E-2</v>
      </c>
      <c r="BP55" s="10">
        <f t="shared" si="34"/>
        <v>-0.91516802370137273</v>
      </c>
      <c r="BQ55" s="10">
        <f t="shared" si="35"/>
        <v>0.91479388934972361</v>
      </c>
    </row>
    <row r="56" spans="2:69">
      <c r="B56">
        <f t="shared" si="36"/>
        <v>8000</v>
      </c>
      <c r="C56">
        <f t="shared" si="46"/>
        <v>172.00000000000045</v>
      </c>
      <c r="D56">
        <f t="shared" si="0"/>
        <v>632.00000000000045</v>
      </c>
      <c r="E56">
        <f t="shared" si="37"/>
        <v>631.60000000000048</v>
      </c>
      <c r="F56">
        <f t="shared" si="47"/>
        <v>952.29916788654896</v>
      </c>
      <c r="G56">
        <f t="shared" si="38"/>
        <v>947.15545615358917</v>
      </c>
      <c r="H56">
        <f t="shared" si="1"/>
        <v>0.91441381103206032</v>
      </c>
      <c r="I56">
        <f t="shared" si="39"/>
        <v>0.91460385019089196</v>
      </c>
      <c r="K56">
        <f t="shared" si="40"/>
        <v>-7.5445852709914085E-3</v>
      </c>
      <c r="L56">
        <f t="shared" si="41"/>
        <v>4.3821255268595028E-3</v>
      </c>
      <c r="M56">
        <f t="shared" si="48"/>
        <v>628143775.744187</v>
      </c>
      <c r="N56">
        <f t="shared" si="49"/>
        <v>926514.12870675628</v>
      </c>
      <c r="O56">
        <f t="shared" si="50"/>
        <v>962.55603925525099</v>
      </c>
      <c r="Q56" s="2">
        <f t="shared" si="42"/>
        <v>2.8918494484125916</v>
      </c>
      <c r="R56" s="2">
        <f t="shared" si="2"/>
        <v>4.6343741160458203E-2</v>
      </c>
      <c r="W56" s="2">
        <f t="shared" si="3"/>
        <v>153823.62022263711</v>
      </c>
      <c r="X56" s="2">
        <f t="shared" si="43"/>
        <v>1203.8754300000005</v>
      </c>
      <c r="Y56" s="2">
        <f t="shared" si="4"/>
        <v>127.77370182115691</v>
      </c>
      <c r="Z56" s="2">
        <f t="shared" si="44"/>
        <v>5.1987592386708847</v>
      </c>
      <c r="AA56" s="2">
        <f t="shared" si="5"/>
        <v>1.2907959453195954</v>
      </c>
      <c r="AB56" s="2">
        <f t="shared" si="6"/>
        <v>1.1036471886287609</v>
      </c>
      <c r="AC56" s="2">
        <f t="shared" si="7"/>
        <v>1.410170867956094E-2</v>
      </c>
      <c r="AD56" s="2">
        <f t="shared" si="8"/>
        <v>3725378.008867966</v>
      </c>
      <c r="AI56">
        <f t="shared" si="9"/>
        <v>1.3542786766847023E-6</v>
      </c>
      <c r="AK56">
        <f t="shared" si="10"/>
        <v>7.3388770689436264E-6</v>
      </c>
      <c r="AL56">
        <f t="shared" si="11"/>
        <v>-3.9940955778448708</v>
      </c>
      <c r="AM56">
        <f t="shared" si="12"/>
        <v>15.106152258996694</v>
      </c>
      <c r="AN56">
        <f t="shared" si="13"/>
        <v>228.19583607199093</v>
      </c>
      <c r="AO56">
        <f t="shared" si="14"/>
        <v>4.3822009078400594E-3</v>
      </c>
      <c r="AQ56" s="3">
        <f t="shared" si="45"/>
        <v>172.00000000000045</v>
      </c>
      <c r="AR56" s="3">
        <f t="shared" si="15"/>
        <v>632.00000000000045</v>
      </c>
      <c r="AS56">
        <f t="shared" si="51"/>
        <v>952.29916788654896</v>
      </c>
      <c r="AV56" s="3">
        <f t="shared" si="16"/>
        <v>1.6853333333333345</v>
      </c>
      <c r="AW56" s="3">
        <f t="shared" si="17"/>
        <v>1.419223797148359</v>
      </c>
      <c r="AX56" s="4">
        <v>0.8</v>
      </c>
      <c r="AY56" s="5">
        <f t="shared" si="18"/>
        <v>0.28420967061169156</v>
      </c>
      <c r="AZ56" s="5">
        <f t="shared" si="19"/>
        <v>-0.11987280220771743</v>
      </c>
      <c r="BA56" s="5">
        <f t="shared" si="20"/>
        <v>1.4188428712394648E-2</v>
      </c>
      <c r="BB56" s="5">
        <f t="shared" si="21"/>
        <v>-7.2815187288105705E-5</v>
      </c>
      <c r="BC56" s="5">
        <f t="shared" si="22"/>
        <v>1.0953369883209973E-2</v>
      </c>
      <c r="BD56" s="5">
        <f t="shared" si="23"/>
        <v>0.94342456121916651</v>
      </c>
      <c r="BE56" s="6">
        <f t="shared" si="24"/>
        <v>0.90472211986790385</v>
      </c>
      <c r="BF56" s="7">
        <f t="shared" si="25"/>
        <v>0.10472211986790381</v>
      </c>
      <c r="BG56" s="5">
        <v>0.85</v>
      </c>
      <c r="BH56" s="5">
        <f t="shared" si="26"/>
        <v>0.26749145469335683</v>
      </c>
      <c r="BI56" s="5">
        <f t="shared" si="27"/>
        <v>-0.11282146090138113</v>
      </c>
      <c r="BJ56" s="5">
        <f t="shared" si="28"/>
        <v>1.2568296714093536E-2</v>
      </c>
      <c r="BK56" s="5">
        <f t="shared" si="29"/>
        <v>-5.3774610982523469E-5</v>
      </c>
      <c r="BL56" s="5">
        <f t="shared" si="30"/>
        <v>9.6416663938082604E-3</v>
      </c>
      <c r="BM56" s="5">
        <f t="shared" si="31"/>
        <v>0.94971934905672573</v>
      </c>
      <c r="BN56" s="8">
        <f t="shared" si="32"/>
        <v>0.90895748755504469</v>
      </c>
      <c r="BO56" s="9">
        <f t="shared" si="33"/>
        <v>5.8957487555044708E-2</v>
      </c>
      <c r="BP56" s="10">
        <f t="shared" si="34"/>
        <v>-0.91529264625718321</v>
      </c>
      <c r="BQ56" s="10">
        <f t="shared" si="35"/>
        <v>0.91441381103206032</v>
      </c>
    </row>
    <row r="57" spans="2:69">
      <c r="B57">
        <f t="shared" si="36"/>
        <v>8200</v>
      </c>
      <c r="C57">
        <f t="shared" si="46"/>
        <v>172.80000000000047</v>
      </c>
      <c r="D57">
        <f t="shared" si="0"/>
        <v>632.80000000000041</v>
      </c>
      <c r="E57">
        <f t="shared" si="37"/>
        <v>632.40000000000043</v>
      </c>
      <c r="F57">
        <f t="shared" si="47"/>
        <v>962.55603925525099</v>
      </c>
      <c r="G57">
        <f t="shared" si="38"/>
        <v>957.42760357089992</v>
      </c>
      <c r="H57">
        <f t="shared" si="1"/>
        <v>0.91404667287597685</v>
      </c>
      <c r="I57">
        <f t="shared" si="39"/>
        <v>0.91423024195401859</v>
      </c>
      <c r="K57">
        <f t="shared" si="40"/>
        <v>-7.5381204645256139E-3</v>
      </c>
      <c r="L57">
        <f t="shared" si="41"/>
        <v>4.3822009078400594E-3</v>
      </c>
      <c r="M57">
        <f t="shared" si="48"/>
        <v>629232472.83029282</v>
      </c>
      <c r="N57">
        <f t="shared" si="49"/>
        <v>946308.38888311654</v>
      </c>
      <c r="O57">
        <f t="shared" si="50"/>
        <v>972.78383461235444</v>
      </c>
      <c r="Q57" s="2">
        <f t="shared" si="42"/>
        <v>2.9204737728024805</v>
      </c>
      <c r="R57" s="2">
        <f t="shared" si="2"/>
        <v>4.6802464307732064E-2</v>
      </c>
      <c r="W57" s="2">
        <f t="shared" si="3"/>
        <v>154115.78279539407</v>
      </c>
      <c r="X57" s="2">
        <f t="shared" si="43"/>
        <v>1204.6754300000005</v>
      </c>
      <c r="Y57" s="2">
        <f t="shared" si="4"/>
        <v>127.93137384348746</v>
      </c>
      <c r="Z57" s="2">
        <f t="shared" si="44"/>
        <v>5.1967860913969641</v>
      </c>
      <c r="AA57" s="2">
        <f t="shared" si="5"/>
        <v>1.2912347732733154</v>
      </c>
      <c r="AB57" s="2">
        <f t="shared" si="6"/>
        <v>1.1048506825574642</v>
      </c>
      <c r="AC57" s="2">
        <f t="shared" si="7"/>
        <v>1.4134506571149126E-2</v>
      </c>
      <c r="AD57" s="2">
        <f t="shared" si="8"/>
        <v>3716733.5936246873</v>
      </c>
      <c r="AI57">
        <f t="shared" si="9"/>
        <v>1.3574284712399165E-6</v>
      </c>
      <c r="AK57">
        <f t="shared" si="10"/>
        <v>7.3542047718451655E-6</v>
      </c>
      <c r="AL57">
        <f t="shared" si="11"/>
        <v>-3.9940299143292957</v>
      </c>
      <c r="AM57">
        <f t="shared" si="12"/>
        <v>15.106022547371067</v>
      </c>
      <c r="AN57">
        <f t="shared" si="13"/>
        <v>228.19191720168305</v>
      </c>
      <c r="AO57">
        <f t="shared" si="14"/>
        <v>4.3822761658826384E-3</v>
      </c>
      <c r="AQ57" s="3">
        <f t="shared" si="45"/>
        <v>172.80000000000047</v>
      </c>
      <c r="AR57" s="3">
        <f t="shared" si="15"/>
        <v>632.80000000000041</v>
      </c>
      <c r="AS57">
        <f t="shared" si="51"/>
        <v>962.55603925525099</v>
      </c>
      <c r="AV57" s="3">
        <f t="shared" si="16"/>
        <v>1.6874666666666678</v>
      </c>
      <c r="AW57" s="3">
        <f t="shared" si="17"/>
        <v>1.4345097455368867</v>
      </c>
      <c r="AX57" s="4">
        <v>0.8</v>
      </c>
      <c r="AY57" s="5">
        <f t="shared" si="18"/>
        <v>0.28690761641831874</v>
      </c>
      <c r="AZ57" s="5">
        <f t="shared" si="19"/>
        <v>-0.12065518086090619</v>
      </c>
      <c r="BA57" s="5">
        <f t="shared" si="20"/>
        <v>1.4491032042555104E-2</v>
      </c>
      <c r="BB57" s="5">
        <f t="shared" si="21"/>
        <v>-7.625785021959068E-5</v>
      </c>
      <c r="BC57" s="5">
        <f t="shared" si="22"/>
        <v>1.1131705704613188E-2</v>
      </c>
      <c r="BD57" s="5">
        <f t="shared" si="23"/>
        <v>0.94237704741703043</v>
      </c>
      <c r="BE57" s="6">
        <f t="shared" si="24"/>
        <v>0.90440237298649717</v>
      </c>
      <c r="BF57" s="7">
        <f t="shared" si="25"/>
        <v>0.10440237298649713</v>
      </c>
      <c r="BG57" s="5">
        <v>0.85</v>
      </c>
      <c r="BH57" s="5">
        <f t="shared" si="26"/>
        <v>0.27003069780547651</v>
      </c>
      <c r="BI57" s="5">
        <f t="shared" si="27"/>
        <v>-0.11355781728085292</v>
      </c>
      <c r="BJ57" s="5">
        <f t="shared" si="28"/>
        <v>1.2836346722816982E-2</v>
      </c>
      <c r="BK57" s="5">
        <f t="shared" si="29"/>
        <v>-5.6317045696755078E-5</v>
      </c>
      <c r="BL57" s="5">
        <f t="shared" si="30"/>
        <v>9.7975300799774435E-3</v>
      </c>
      <c r="BM57" s="5">
        <f t="shared" si="31"/>
        <v>0.94878519710453657</v>
      </c>
      <c r="BN57" s="8">
        <f t="shared" si="32"/>
        <v>0.90863059799572987</v>
      </c>
      <c r="BO57" s="9">
        <f t="shared" si="33"/>
        <v>5.8630597995729894E-2</v>
      </c>
      <c r="BP57" s="10">
        <f t="shared" si="34"/>
        <v>-0.91543549981534589</v>
      </c>
      <c r="BQ57" s="10">
        <f t="shared" si="35"/>
        <v>0.91404667287597685</v>
      </c>
    </row>
    <row r="58" spans="2:69">
      <c r="B58">
        <f t="shared" si="36"/>
        <v>8400</v>
      </c>
      <c r="C58">
        <f t="shared" si="46"/>
        <v>173.60000000000048</v>
      </c>
      <c r="D58">
        <f t="shared" si="0"/>
        <v>633.60000000000048</v>
      </c>
      <c r="E58">
        <f t="shared" si="37"/>
        <v>633.2000000000005</v>
      </c>
      <c r="F58">
        <f t="shared" si="47"/>
        <v>972.78383461235444</v>
      </c>
      <c r="G58">
        <f t="shared" si="38"/>
        <v>967.66993693380277</v>
      </c>
      <c r="H58">
        <f t="shared" si="1"/>
        <v>0.91369222173948828</v>
      </c>
      <c r="I58">
        <f t="shared" si="39"/>
        <v>0.91386944730773256</v>
      </c>
      <c r="K58">
        <f t="shared" si="40"/>
        <v>-7.5315689047439575E-3</v>
      </c>
      <c r="L58">
        <f t="shared" si="41"/>
        <v>4.3822761658826384E-3</v>
      </c>
      <c r="M58">
        <f t="shared" si="48"/>
        <v>630338487.19904602</v>
      </c>
      <c r="N58">
        <f t="shared" si="49"/>
        <v>966257.47573793284</v>
      </c>
      <c r="O58">
        <f t="shared" si="50"/>
        <v>982.98396514792285</v>
      </c>
      <c r="Q58" s="2">
        <f t="shared" si="42"/>
        <v>2.9489226320715729</v>
      </c>
      <c r="R58" s="2">
        <f t="shared" si="2"/>
        <v>4.7258375513967513E-2</v>
      </c>
      <c r="W58" s="2">
        <f t="shared" si="3"/>
        <v>154408.1301058188</v>
      </c>
      <c r="X58" s="2">
        <f t="shared" si="43"/>
        <v>1205.4754300000004</v>
      </c>
      <c r="Y58" s="2">
        <f t="shared" si="4"/>
        <v>128.08898984014857</v>
      </c>
      <c r="Z58" s="2">
        <f t="shared" si="44"/>
        <v>5.19481792681818</v>
      </c>
      <c r="AA58" s="2">
        <f t="shared" si="5"/>
        <v>1.2916724930756369</v>
      </c>
      <c r="AB58" s="2">
        <f t="shared" si="6"/>
        <v>1.106047838555654</v>
      </c>
      <c r="AC58" s="2">
        <f t="shared" si="7"/>
        <v>1.4167255035547346E-2</v>
      </c>
      <c r="AD58" s="2">
        <f t="shared" si="8"/>
        <v>3708142.1397782587</v>
      </c>
      <c r="AI58">
        <f t="shared" si="9"/>
        <v>1.3605735189810431E-6</v>
      </c>
      <c r="AK58">
        <f t="shared" si="10"/>
        <v>7.3695057599113318E-6</v>
      </c>
      <c r="AL58">
        <f t="shared" si="11"/>
        <v>-3.9939643751600555</v>
      </c>
      <c r="AM58">
        <f t="shared" si="12"/>
        <v>15.105893044813131</v>
      </c>
      <c r="AN58">
        <f t="shared" si="13"/>
        <v>228.18800468133372</v>
      </c>
      <c r="AO58">
        <f t="shared" si="14"/>
        <v>4.3823513045591839E-3</v>
      </c>
      <c r="AQ58" s="3">
        <f t="shared" si="45"/>
        <v>173.60000000000048</v>
      </c>
      <c r="AR58" s="3">
        <f t="shared" si="15"/>
        <v>633.60000000000048</v>
      </c>
      <c r="AS58">
        <f t="shared" si="51"/>
        <v>972.78383461235444</v>
      </c>
      <c r="AV58" s="3">
        <f t="shared" si="16"/>
        <v>1.6896000000000013</v>
      </c>
      <c r="AW58" s="3">
        <f t="shared" si="17"/>
        <v>1.4497523615683374</v>
      </c>
      <c r="AX58" s="4">
        <v>0.8</v>
      </c>
      <c r="AY58" s="5">
        <f t="shared" si="18"/>
        <v>0.28959009353060694</v>
      </c>
      <c r="AZ58" s="5">
        <f t="shared" si="19"/>
        <v>-0.12142562525855378</v>
      </c>
      <c r="BA58" s="5">
        <f t="shared" si="20"/>
        <v>1.4795754323744099E-2</v>
      </c>
      <c r="BB58" s="5">
        <f t="shared" si="21"/>
        <v>-7.9806738740364726E-5</v>
      </c>
      <c r="BC58" s="5">
        <f t="shared" si="22"/>
        <v>1.1309821005713186E-2</v>
      </c>
      <c r="BD58" s="5">
        <f t="shared" si="23"/>
        <v>0.94132689706367179</v>
      </c>
      <c r="BE58" s="6">
        <f t="shared" si="24"/>
        <v>0.90409617451758428</v>
      </c>
      <c r="BF58" s="7">
        <f t="shared" si="25"/>
        <v>0.10409617451758424</v>
      </c>
      <c r="BG58" s="5">
        <v>0.85</v>
      </c>
      <c r="BH58" s="5">
        <f t="shared" si="26"/>
        <v>0.27255538214645364</v>
      </c>
      <c r="BI58" s="5">
        <f t="shared" si="27"/>
        <v>-0.11428294141981535</v>
      </c>
      <c r="BJ58" s="5">
        <f t="shared" si="28"/>
        <v>1.3106273726223153E-2</v>
      </c>
      <c r="BK58" s="5">
        <f t="shared" si="29"/>
        <v>-5.8937928876933915E-5</v>
      </c>
      <c r="BL58" s="5">
        <f t="shared" si="30"/>
        <v>9.9531622155739317E-3</v>
      </c>
      <c r="BM58" s="5">
        <f t="shared" si="31"/>
        <v>0.94784857490441299</v>
      </c>
      <c r="BN58" s="8">
        <f t="shared" si="32"/>
        <v>0.90831636085710898</v>
      </c>
      <c r="BO58" s="9">
        <f t="shared" si="33"/>
        <v>5.8316360857109006E-2</v>
      </c>
      <c r="BP58" s="10">
        <f t="shared" si="34"/>
        <v>-0.91559627320950587</v>
      </c>
      <c r="BQ58" s="10">
        <f t="shared" si="35"/>
        <v>0.91369222173948828</v>
      </c>
    </row>
    <row r="59" spans="2:69">
      <c r="B59">
        <f t="shared" si="36"/>
        <v>8600</v>
      </c>
      <c r="C59">
        <f t="shared" si="46"/>
        <v>174.40000000000049</v>
      </c>
      <c r="D59">
        <f t="shared" si="0"/>
        <v>634.40000000000055</v>
      </c>
      <c r="E59">
        <f t="shared" si="37"/>
        <v>634.00000000000045</v>
      </c>
      <c r="F59">
        <f t="shared" si="47"/>
        <v>982.98396514792285</v>
      </c>
      <c r="G59">
        <f t="shared" si="38"/>
        <v>977.88389988013864</v>
      </c>
      <c r="H59">
        <f t="shared" si="1"/>
        <v>0.91335021404654926</v>
      </c>
      <c r="I59">
        <f t="shared" si="39"/>
        <v>0.91352121789301877</v>
      </c>
      <c r="K59">
        <f t="shared" si="40"/>
        <v>-7.5249327189474439E-3</v>
      </c>
      <c r="L59">
        <f t="shared" si="41"/>
        <v>4.3823513045591839E-3</v>
      </c>
      <c r="M59">
        <f t="shared" si="48"/>
        <v>631461586.56497812</v>
      </c>
      <c r="N59">
        <f t="shared" si="49"/>
        <v>986362.37786584056</v>
      </c>
      <c r="O59">
        <f t="shared" si="50"/>
        <v>993.15778095217104</v>
      </c>
      <c r="Q59" s="2">
        <f t="shared" si="42"/>
        <v>2.9772003006480858</v>
      </c>
      <c r="R59" s="2">
        <f t="shared" si="2"/>
        <v>4.7711543279616762E-2</v>
      </c>
      <c r="W59" s="2">
        <f t="shared" si="3"/>
        <v>154700.66203724674</v>
      </c>
      <c r="X59" s="2">
        <f t="shared" si="43"/>
        <v>1206.2754300000006</v>
      </c>
      <c r="Y59" s="2">
        <f t="shared" si="4"/>
        <v>128.24654982589396</v>
      </c>
      <c r="Z59" s="2">
        <f t="shared" si="44"/>
        <v>5.1928547260844873</v>
      </c>
      <c r="AA59" s="2">
        <f t="shared" si="5"/>
        <v>1.2921091089188101</v>
      </c>
      <c r="AB59" s="2">
        <f t="shared" si="6"/>
        <v>1.1072387963766339</v>
      </c>
      <c r="AC59" s="2">
        <f t="shared" si="7"/>
        <v>1.4199955546867885E-2</v>
      </c>
      <c r="AD59" s="2">
        <f t="shared" si="8"/>
        <v>3699602.8071289584</v>
      </c>
      <c r="AI59">
        <f t="shared" si="9"/>
        <v>1.3637139614766592E-6</v>
      </c>
      <c r="AK59">
        <f t="shared" si="10"/>
        <v>7.3847807471846207E-6</v>
      </c>
      <c r="AL59">
        <f t="shared" si="11"/>
        <v>-3.9938989572245727</v>
      </c>
      <c r="AM59">
        <f t="shared" si="12"/>
        <v>15.1057637454289</v>
      </c>
      <c r="AN59">
        <f t="shared" si="13"/>
        <v>228.18409833271417</v>
      </c>
      <c r="AO59">
        <f t="shared" si="14"/>
        <v>4.3824263272802854E-3</v>
      </c>
      <c r="AQ59" s="3">
        <f t="shared" si="45"/>
        <v>174.40000000000049</v>
      </c>
      <c r="AR59" s="3">
        <f t="shared" si="15"/>
        <v>634.40000000000055</v>
      </c>
      <c r="AS59">
        <f t="shared" si="51"/>
        <v>982.98396514792285</v>
      </c>
      <c r="AV59" s="3">
        <f t="shared" si="16"/>
        <v>1.6917333333333349</v>
      </c>
      <c r="AW59" s="3">
        <f t="shared" si="17"/>
        <v>1.4649537483575601</v>
      </c>
      <c r="AX59" s="4">
        <v>0.8</v>
      </c>
      <c r="AY59" s="5">
        <f t="shared" si="18"/>
        <v>0.29225758003862473</v>
      </c>
      <c r="AZ59" s="5">
        <f t="shared" si="19"/>
        <v>-0.12218442051333216</v>
      </c>
      <c r="BA59" s="5">
        <f t="shared" si="20"/>
        <v>1.5102604046946976E-2</v>
      </c>
      <c r="BB59" s="5">
        <f t="shared" si="21"/>
        <v>-8.3463635027350417E-5</v>
      </c>
      <c r="BC59" s="5">
        <f t="shared" si="22"/>
        <v>1.1487722138867349E-2</v>
      </c>
      <c r="BD59" s="5">
        <f t="shared" si="23"/>
        <v>0.94027410090385644</v>
      </c>
      <c r="BE59" s="6">
        <f t="shared" si="24"/>
        <v>0.90380325477419898</v>
      </c>
      <c r="BF59" s="7">
        <f t="shared" si="25"/>
        <v>0.10380325477419894</v>
      </c>
      <c r="BG59" s="5">
        <v>0.85</v>
      </c>
      <c r="BH59" s="5">
        <f t="shared" si="26"/>
        <v>0.27506595768341152</v>
      </c>
      <c r="BI59" s="5">
        <f t="shared" si="27"/>
        <v>-0.11499710165960675</v>
      </c>
      <c r="BJ59" s="5">
        <f t="shared" si="28"/>
        <v>1.3378085245738499E-2</v>
      </c>
      <c r="BK59" s="5">
        <f t="shared" si="29"/>
        <v>-6.1638576675284221E-5</v>
      </c>
      <c r="BL59" s="5">
        <f t="shared" si="30"/>
        <v>1.0108568370999884E-2</v>
      </c>
      <c r="BM59" s="5">
        <f t="shared" si="31"/>
        <v>0.9469094731537846</v>
      </c>
      <c r="BN59" s="8">
        <f t="shared" si="32"/>
        <v>0.90801452131332949</v>
      </c>
      <c r="BO59" s="9">
        <f t="shared" si="33"/>
        <v>5.8014521313329515E-2</v>
      </c>
      <c r="BP59" s="10">
        <f t="shared" si="34"/>
        <v>-0.9157746692173897</v>
      </c>
      <c r="BQ59" s="10">
        <f t="shared" si="35"/>
        <v>0.91335021404654926</v>
      </c>
    </row>
    <row r="60" spans="2:69">
      <c r="B60">
        <f t="shared" si="36"/>
        <v>8800</v>
      </c>
      <c r="C60">
        <f t="shared" si="46"/>
        <v>175.2000000000005</v>
      </c>
      <c r="D60">
        <f t="shared" si="0"/>
        <v>635.2000000000005</v>
      </c>
      <c r="E60">
        <f t="shared" si="37"/>
        <v>634.80000000000052</v>
      </c>
      <c r="F60">
        <f t="shared" si="47"/>
        <v>993.15778095217104</v>
      </c>
      <c r="G60">
        <f t="shared" si="38"/>
        <v>988.07087305004688</v>
      </c>
      <c r="H60">
        <f t="shared" si="1"/>
        <v>0.91302041524751665</v>
      </c>
      <c r="I60">
        <f t="shared" si="39"/>
        <v>0.91318531464703301</v>
      </c>
      <c r="K60">
        <f t="shared" si="40"/>
        <v>-7.5182139614808508E-3</v>
      </c>
      <c r="L60">
        <f t="shared" si="41"/>
        <v>4.3824263272802854E-3</v>
      </c>
      <c r="M60">
        <f t="shared" si="48"/>
        <v>632601549.39922297</v>
      </c>
      <c r="N60">
        <f t="shared" si="49"/>
        <v>1006624.082498005</v>
      </c>
      <c r="O60">
        <f t="shared" si="50"/>
        <v>1003.3065745314366</v>
      </c>
      <c r="Q60" s="2">
        <f t="shared" si="42"/>
        <v>3.0053108646048394</v>
      </c>
      <c r="R60" s="2">
        <f t="shared" si="2"/>
        <v>4.816203308661602E-2</v>
      </c>
      <c r="W60" s="2">
        <f t="shared" si="3"/>
        <v>154993.37847323462</v>
      </c>
      <c r="X60" s="2">
        <f t="shared" si="43"/>
        <v>1207.0754300000006</v>
      </c>
      <c r="Y60" s="2">
        <f t="shared" si="4"/>
        <v>128.40405381562158</v>
      </c>
      <c r="Z60" s="2">
        <f t="shared" si="44"/>
        <v>5.1908964704408049</v>
      </c>
      <c r="AA60" s="2">
        <f t="shared" si="5"/>
        <v>1.2925446249739652</v>
      </c>
      <c r="AB60" s="2">
        <f t="shared" si="6"/>
        <v>1.1084236899363591</v>
      </c>
      <c r="AC60" s="2">
        <f t="shared" si="7"/>
        <v>1.423260951330981E-2</v>
      </c>
      <c r="AD60" s="2">
        <f t="shared" si="8"/>
        <v>3691114.7849008869</v>
      </c>
      <c r="AI60">
        <f t="shared" si="9"/>
        <v>1.3668499339652677E-6</v>
      </c>
      <c r="AK60">
        <f t="shared" si="10"/>
        <v>7.400030416132562E-6</v>
      </c>
      <c r="AL60">
        <f t="shared" si="11"/>
        <v>-3.9938336575474263</v>
      </c>
      <c r="AM60">
        <f t="shared" si="12"/>
        <v>15.10563464358755</v>
      </c>
      <c r="AN60">
        <f t="shared" si="13"/>
        <v>228.18019798555235</v>
      </c>
      <c r="AO60">
        <f t="shared" si="14"/>
        <v>4.3825012373041976E-3</v>
      </c>
      <c r="AQ60" s="3">
        <f t="shared" si="45"/>
        <v>175.2000000000005</v>
      </c>
      <c r="AR60" s="3">
        <f t="shared" si="15"/>
        <v>635.2000000000005</v>
      </c>
      <c r="AS60">
        <f t="shared" si="51"/>
        <v>993.15778095217104</v>
      </c>
      <c r="AV60" s="3">
        <f t="shared" si="16"/>
        <v>1.693866666666668</v>
      </c>
      <c r="AW60" s="3">
        <f t="shared" si="17"/>
        <v>1.4801159179615067</v>
      </c>
      <c r="AX60" s="4">
        <v>0.8</v>
      </c>
      <c r="AY60" s="5">
        <f t="shared" si="18"/>
        <v>0.29491053348079826</v>
      </c>
      <c r="AZ60" s="5">
        <f t="shared" si="19"/>
        <v>-0.12293184023780235</v>
      </c>
      <c r="BA60" s="5">
        <f t="shared" si="20"/>
        <v>1.541158964094254E-2</v>
      </c>
      <c r="BB60" s="5">
        <f t="shared" si="21"/>
        <v>-8.7230336309206832E-5</v>
      </c>
      <c r="BC60" s="5">
        <f t="shared" si="22"/>
        <v>1.1665415339273972E-2</v>
      </c>
      <c r="BD60" s="5">
        <f t="shared" si="23"/>
        <v>0.93921865016117834</v>
      </c>
      <c r="BE60" s="6">
        <f t="shared" si="24"/>
        <v>0.90352335538797179</v>
      </c>
      <c r="BF60" s="7">
        <f t="shared" si="25"/>
        <v>0.10352335538797175</v>
      </c>
      <c r="BG60" s="5">
        <v>0.85</v>
      </c>
      <c r="BH60" s="5">
        <f t="shared" si="26"/>
        <v>0.27756285504075129</v>
      </c>
      <c r="BI60" s="5">
        <f t="shared" si="27"/>
        <v>-0.11570055551793162</v>
      </c>
      <c r="BJ60" s="5">
        <f t="shared" si="28"/>
        <v>1.3651788747686123E-2</v>
      </c>
      <c r="BK60" s="5">
        <f t="shared" si="29"/>
        <v>-6.4420316359860763E-5</v>
      </c>
      <c r="BL60" s="5">
        <f t="shared" si="30"/>
        <v>1.0263754011537205E-2</v>
      </c>
      <c r="BM60" s="5">
        <f t="shared" si="31"/>
        <v>0.945967882968198</v>
      </c>
      <c r="BN60" s="8">
        <f t="shared" si="32"/>
        <v>0.9077248351997147</v>
      </c>
      <c r="BO60" s="9">
        <f t="shared" si="33"/>
        <v>5.7724835199714719E-2</v>
      </c>
      <c r="BP60" s="10">
        <f t="shared" si="34"/>
        <v>-0.91597040376514183</v>
      </c>
      <c r="BQ60" s="10">
        <f t="shared" si="35"/>
        <v>0.91302041524751665</v>
      </c>
    </row>
    <row r="61" spans="2:69">
      <c r="B61">
        <f t="shared" si="36"/>
        <v>9000</v>
      </c>
      <c r="C61">
        <f t="shared" si="46"/>
        <v>176.00000000000051</v>
      </c>
      <c r="D61">
        <f t="shared" si="0"/>
        <v>636.00000000000045</v>
      </c>
      <c r="E61">
        <f t="shared" si="37"/>
        <v>635.60000000000048</v>
      </c>
      <c r="F61">
        <f t="shared" si="47"/>
        <v>1003.3065745314366</v>
      </c>
      <c r="G61">
        <f t="shared" si="38"/>
        <v>998.23217774180375</v>
      </c>
      <c r="H61">
        <f t="shared" si="1"/>
        <v>0.91270259931810216</v>
      </c>
      <c r="I61">
        <f t="shared" si="39"/>
        <v>0.91286150728280946</v>
      </c>
      <c r="K61">
        <f t="shared" si="40"/>
        <v>-7.5114146177105668E-3</v>
      </c>
      <c r="L61">
        <f t="shared" si="41"/>
        <v>4.3825012373041976E-3</v>
      </c>
      <c r="M61">
        <f t="shared" si="48"/>
        <v>633758164.30602479</v>
      </c>
      <c r="N61">
        <f t="shared" si="49"/>
        <v>1027043.5755888631</v>
      </c>
      <c r="O61">
        <f t="shared" si="50"/>
        <v>1013.4315840691286</v>
      </c>
      <c r="Q61" s="2">
        <f t="shared" si="42"/>
        <v>3.0332582325336275</v>
      </c>
      <c r="R61" s="2">
        <f t="shared" si="2"/>
        <v>4.8609907572654286E-2</v>
      </c>
      <c r="W61" s="2">
        <f t="shared" si="3"/>
        <v>155286.27929755958</v>
      </c>
      <c r="X61" s="2">
        <f t="shared" si="43"/>
        <v>1207.8754300000005</v>
      </c>
      <c r="Y61" s="2">
        <f t="shared" si="4"/>
        <v>128.56150182437233</v>
      </c>
      <c r="Z61" s="2">
        <f t="shared" si="44"/>
        <v>5.1889431412264138</v>
      </c>
      <c r="AA61" s="2">
        <f t="shared" si="5"/>
        <v>1.2929790453912458</v>
      </c>
      <c r="AB61" s="2">
        <f t="shared" si="6"/>
        <v>1.109602647632159</v>
      </c>
      <c r="AC61" s="2">
        <f t="shared" si="7"/>
        <v>1.4265218280789018E-2</v>
      </c>
      <c r="AD61" s="2">
        <f t="shared" si="8"/>
        <v>3682677.2901923759</v>
      </c>
      <c r="AI61">
        <f t="shared" si="9"/>
        <v>1.3699815657039146E-6</v>
      </c>
      <c r="AK61">
        <f t="shared" si="10"/>
        <v>7.4152554193859067E-6</v>
      </c>
      <c r="AL61">
        <f t="shared" si="11"/>
        <v>-3.9937684732827998</v>
      </c>
      <c r="AM61">
        <f t="shared" si="12"/>
        <v>15.105505733906902</v>
      </c>
      <c r="AN61">
        <f t="shared" si="13"/>
        <v>228.17630347709431</v>
      </c>
      <c r="AO61">
        <f t="shared" si="14"/>
        <v>4.3825760377452427E-3</v>
      </c>
      <c r="AQ61" s="3">
        <f t="shared" si="45"/>
        <v>176.00000000000051</v>
      </c>
      <c r="AR61" s="3">
        <f t="shared" si="15"/>
        <v>636.00000000000045</v>
      </c>
      <c r="AS61">
        <f t="shared" si="51"/>
        <v>1003.3065745314366</v>
      </c>
      <c r="AV61" s="3">
        <f t="shared" si="16"/>
        <v>1.6960000000000013</v>
      </c>
      <c r="AW61" s="3">
        <f t="shared" si="17"/>
        <v>1.4952407966191306</v>
      </c>
      <c r="AX61" s="4">
        <v>0.8</v>
      </c>
      <c r="AY61" s="5">
        <f t="shared" si="18"/>
        <v>0.29754939201589398</v>
      </c>
      <c r="AZ61" s="5">
        <f t="shared" si="19"/>
        <v>-0.12366814718230469</v>
      </c>
      <c r="BA61" s="5">
        <f t="shared" si="20"/>
        <v>1.5722719473590198E-2</v>
      </c>
      <c r="BB61" s="5">
        <f t="shared" si="21"/>
        <v>-9.1108655007615213E-5</v>
      </c>
      <c r="BC61" s="5">
        <f t="shared" si="22"/>
        <v>1.184290672814101E-2</v>
      </c>
      <c r="BD61" s="5">
        <f t="shared" si="23"/>
        <v>0.93816053652685749</v>
      </c>
      <c r="BE61" s="6">
        <f t="shared" si="24"/>
        <v>0.90325622867640343</v>
      </c>
      <c r="BF61" s="7">
        <f t="shared" si="25"/>
        <v>0.10325622867640338</v>
      </c>
      <c r="BG61" s="5">
        <v>0.85</v>
      </c>
      <c r="BH61" s="5">
        <f t="shared" si="26"/>
        <v>0.28004648660319437</v>
      </c>
      <c r="BI61" s="5">
        <f t="shared" si="27"/>
        <v>-0.11639355028922796</v>
      </c>
      <c r="BJ61" s="5">
        <f t="shared" si="28"/>
        <v>1.3927391644425923E-2</v>
      </c>
      <c r="BK61" s="5">
        <f t="shared" si="29"/>
        <v>-6.7284486418889503E-5</v>
      </c>
      <c r="BL61" s="5">
        <f t="shared" si="30"/>
        <v>1.0418724500212697E-2</v>
      </c>
      <c r="BM61" s="5">
        <f t="shared" si="31"/>
        <v>0.94502379587153196</v>
      </c>
      <c r="BN61" s="8">
        <f t="shared" si="32"/>
        <v>0.90744706841694767</v>
      </c>
      <c r="BO61" s="9">
        <f t="shared" si="33"/>
        <v>5.7447068416947689E-2</v>
      </c>
      <c r="BP61" s="10">
        <f t="shared" si="34"/>
        <v>-0.91618320518911511</v>
      </c>
      <c r="BQ61" s="10">
        <f t="shared" si="35"/>
        <v>0.91270259931810216</v>
      </c>
    </row>
    <row r="62" spans="2:69">
      <c r="B62">
        <f t="shared" si="36"/>
        <v>9200</v>
      </c>
      <c r="C62">
        <f t="shared" si="46"/>
        <v>176.80000000000052</v>
      </c>
      <c r="D62">
        <f t="shared" si="0"/>
        <v>636.80000000000052</v>
      </c>
      <c r="E62">
        <f t="shared" si="37"/>
        <v>636.40000000000055</v>
      </c>
      <c r="F62">
        <f t="shared" si="47"/>
        <v>1013.4315840691286</v>
      </c>
      <c r="G62">
        <f t="shared" si="38"/>
        <v>1008.3690793002826</v>
      </c>
      <c r="H62">
        <f t="shared" si="1"/>
        <v>0.91239654829349526</v>
      </c>
      <c r="I62">
        <f t="shared" si="39"/>
        <v>0.91254957380579871</v>
      </c>
      <c r="K62">
        <f t="shared" si="40"/>
        <v>-7.504536607721937E-3</v>
      </c>
      <c r="L62">
        <f t="shared" si="41"/>
        <v>4.3825760377452427E-3</v>
      </c>
      <c r="M62">
        <f t="shared" si="48"/>
        <v>634931229.44399524</v>
      </c>
      <c r="N62">
        <f t="shared" si="49"/>
        <v>1047621.8418967477</v>
      </c>
      <c r="O62">
        <f t="shared" si="50"/>
        <v>1023.5339964538294</v>
      </c>
      <c r="Q62" s="2">
        <f t="shared" si="42"/>
        <v>3.0610461456374152</v>
      </c>
      <c r="R62" s="2">
        <f t="shared" si="2"/>
        <v>4.9055226692907294E-2</v>
      </c>
      <c r="W62" s="2">
        <f t="shared" si="3"/>
        <v>155579.36439421689</v>
      </c>
      <c r="X62" s="2">
        <f t="shared" si="43"/>
        <v>1208.6754300000007</v>
      </c>
      <c r="Y62" s="2">
        <f t="shared" si="4"/>
        <v>128.71889386732781</v>
      </c>
      <c r="Z62" s="2">
        <f t="shared" si="44"/>
        <v>5.1869947198743702</v>
      </c>
      <c r="AA62" s="2">
        <f t="shared" si="5"/>
        <v>1.2934123742999402</v>
      </c>
      <c r="AB62" s="2">
        <f t="shared" si="6"/>
        <v>1.1107757926394628</v>
      </c>
      <c r="AC62" s="2">
        <f t="shared" si="7"/>
        <v>1.4297783136315596E-2</v>
      </c>
      <c r="AD62" s="2">
        <f t="shared" si="8"/>
        <v>3674289.56653181</v>
      </c>
      <c r="AI62">
        <f t="shared" si="9"/>
        <v>1.3731089802925368E-6</v>
      </c>
      <c r="AK62">
        <f t="shared" si="10"/>
        <v>7.4304563813560633E-6</v>
      </c>
      <c r="AL62">
        <f t="shared" si="11"/>
        <v>-3.9937034017074544</v>
      </c>
      <c r="AM62">
        <f t="shared" si="12"/>
        <v>15.105377011239957</v>
      </c>
      <c r="AN62">
        <f t="shared" si="13"/>
        <v>228.17241465169658</v>
      </c>
      <c r="AO62">
        <f t="shared" si="14"/>
        <v>4.3826507315816079E-3</v>
      </c>
      <c r="AQ62" s="3">
        <f t="shared" si="45"/>
        <v>176.80000000000052</v>
      </c>
      <c r="AR62" s="3">
        <f t="shared" si="15"/>
        <v>636.80000000000052</v>
      </c>
      <c r="AS62">
        <f t="shared" si="51"/>
        <v>1013.4315840691286</v>
      </c>
      <c r="AV62" s="3">
        <f t="shared" si="16"/>
        <v>1.6981333333333348</v>
      </c>
      <c r="AW62" s="3">
        <f t="shared" si="17"/>
        <v>1.51033022961122</v>
      </c>
      <c r="AX62" s="4">
        <v>0.8</v>
      </c>
      <c r="AY62" s="5">
        <f t="shared" si="18"/>
        <v>0.30017457551063104</v>
      </c>
      <c r="AZ62" s="5">
        <f t="shared" si="19"/>
        <v>-0.12439359382776996</v>
      </c>
      <c r="BA62" s="5">
        <f t="shared" si="20"/>
        <v>1.6036001853020575E-2</v>
      </c>
      <c r="BB62" s="5">
        <f t="shared" si="21"/>
        <v>-9.5100418873281202E-5</v>
      </c>
      <c r="BC62" s="5">
        <f t="shared" si="22"/>
        <v>1.202020231570747E-2</v>
      </c>
      <c r="BD62" s="5">
        <f t="shared" si="23"/>
        <v>0.93709975214910113</v>
      </c>
      <c r="BE62" s="6">
        <f t="shared" si="24"/>
        <v>0.9030016370549554</v>
      </c>
      <c r="BF62" s="7">
        <f t="shared" si="25"/>
        <v>0.10300163705495535</v>
      </c>
      <c r="BG62" s="5">
        <v>0.85</v>
      </c>
      <c r="BH62" s="5">
        <f t="shared" si="26"/>
        <v>0.28251724753941748</v>
      </c>
      <c r="BI62" s="5">
        <f t="shared" si="27"/>
        <v>-0.11707632360260704</v>
      </c>
      <c r="BJ62" s="5">
        <f t="shared" si="28"/>
        <v>1.4204901295409234E-2</v>
      </c>
      <c r="BK62" s="5">
        <f t="shared" si="29"/>
        <v>-7.0232436661205852E-5</v>
      </c>
      <c r="BL62" s="5">
        <f t="shared" si="30"/>
        <v>1.0573485100531068E-2</v>
      </c>
      <c r="BM62" s="5">
        <f t="shared" si="31"/>
        <v>0.94407720378671012</v>
      </c>
      <c r="BN62" s="8">
        <f t="shared" si="32"/>
        <v>0.9071809963774532</v>
      </c>
      <c r="BO62" s="9">
        <f t="shared" si="33"/>
        <v>5.7180996377453219E-2</v>
      </c>
      <c r="BP62" s="10">
        <f t="shared" si="34"/>
        <v>-0.91641281355004389</v>
      </c>
      <c r="BQ62" s="10">
        <f t="shared" si="35"/>
        <v>0.91239654829349526</v>
      </c>
    </row>
    <row r="63" spans="2:69">
      <c r="B63">
        <f t="shared" si="36"/>
        <v>9400</v>
      </c>
      <c r="C63">
        <f t="shared" si="46"/>
        <v>177.60000000000053</v>
      </c>
      <c r="D63">
        <f t="shared" si="0"/>
        <v>637.60000000000059</v>
      </c>
      <c r="E63">
        <f t="shared" si="37"/>
        <v>637.2000000000005</v>
      </c>
      <c r="F63">
        <f t="shared" si="47"/>
        <v>1023.5339964538294</v>
      </c>
      <c r="G63">
        <f t="shared" si="38"/>
        <v>1018.4827902614791</v>
      </c>
      <c r="H63">
        <f t="shared" si="1"/>
        <v>0.91210205183465187</v>
      </c>
      <c r="I63">
        <f t="shared" si="39"/>
        <v>0.91224930006407356</v>
      </c>
      <c r="K63">
        <f t="shared" si="40"/>
        <v>-7.4975817897601623E-3</v>
      </c>
      <c r="L63">
        <f t="shared" si="41"/>
        <v>4.3826507315816079E-3</v>
      </c>
      <c r="M63">
        <f t="shared" si="48"/>
        <v>636120551.98820651</v>
      </c>
      <c r="N63">
        <f t="shared" si="49"/>
        <v>1068359.8650588319</v>
      </c>
      <c r="O63">
        <f t="shared" si="50"/>
        <v>1033.6149500944884</v>
      </c>
      <c r="Q63" s="2">
        <f t="shared" si="42"/>
        <v>3.0886781871081417</v>
      </c>
      <c r="R63" s="2">
        <f t="shared" si="2"/>
        <v>4.9498047870322782E-2</v>
      </c>
      <c r="W63" s="2">
        <f t="shared" si="3"/>
        <v>155872.6336474212</v>
      </c>
      <c r="X63" s="2">
        <f t="shared" si="43"/>
        <v>1209.4754300000006</v>
      </c>
      <c r="Y63" s="2">
        <f t="shared" si="4"/>
        <v>128.87622995981084</v>
      </c>
      <c r="Z63" s="2">
        <f t="shared" si="44"/>
        <v>5.185051187910914</v>
      </c>
      <c r="AA63" s="2">
        <f t="shared" si="5"/>
        <v>1.2938446158086128</v>
      </c>
      <c r="AB63" s="2">
        <f t="shared" si="6"/>
        <v>1.1119432431883796</v>
      </c>
      <c r="AC63" s="2">
        <f t="shared" si="7"/>
        <v>1.4330305311140349E-2</v>
      </c>
      <c r="AD63" s="2">
        <f t="shared" si="8"/>
        <v>3665950.8825299679</v>
      </c>
      <c r="AI63">
        <f t="shared" si="9"/>
        <v>1.376232295976147E-6</v>
      </c>
      <c r="AK63">
        <f t="shared" si="10"/>
        <v>7.4456338997419286E-6</v>
      </c>
      <c r="AL63">
        <f t="shared" si="11"/>
        <v>-3.9936384402141809</v>
      </c>
      <c r="AM63">
        <f t="shared" si="12"/>
        <v>15.10524847066231</v>
      </c>
      <c r="AN63">
        <f t="shared" si="13"/>
        <v>228.16853136044608</v>
      </c>
      <c r="AO63">
        <f t="shared" si="14"/>
        <v>4.3827253216626259E-3</v>
      </c>
      <c r="AQ63" s="3">
        <f t="shared" si="45"/>
        <v>177.60000000000053</v>
      </c>
      <c r="AR63" s="3">
        <f t="shared" si="15"/>
        <v>637.60000000000059</v>
      </c>
      <c r="AS63">
        <f t="shared" si="51"/>
        <v>1023.5339964538294</v>
      </c>
      <c r="AV63" s="3">
        <f t="shared" si="16"/>
        <v>1.7002666666666681</v>
      </c>
      <c r="AW63" s="3">
        <f t="shared" si="17"/>
        <v>1.5253859857732182</v>
      </c>
      <c r="AX63" s="4">
        <v>0.8</v>
      </c>
      <c r="AY63" s="5">
        <f t="shared" si="18"/>
        <v>0.30278648655022389</v>
      </c>
      <c r="AZ63" s="5">
        <f t="shared" si="19"/>
        <v>-0.12510842293730504</v>
      </c>
      <c r="BA63" s="5">
        <f t="shared" si="20"/>
        <v>1.6351445028736946E-2</v>
      </c>
      <c r="BB63" s="5">
        <f t="shared" si="21"/>
        <v>-9.9207471116889126E-5</v>
      </c>
      <c r="BC63" s="5">
        <f t="shared" si="22"/>
        <v>1.219730800412692E-2</v>
      </c>
      <c r="BD63" s="5">
        <f t="shared" si="23"/>
        <v>0.93603628962299024</v>
      </c>
      <c r="BE63" s="6">
        <f t="shared" si="24"/>
        <v>0.90275935249012063</v>
      </c>
      <c r="BF63" s="7">
        <f t="shared" si="25"/>
        <v>0.10275935249012058</v>
      </c>
      <c r="BG63" s="5">
        <v>0.85</v>
      </c>
      <c r="BH63" s="5">
        <f t="shared" si="26"/>
        <v>0.28497551675315197</v>
      </c>
      <c r="BI63" s="5">
        <f t="shared" si="27"/>
        <v>-0.117749103940993</v>
      </c>
      <c r="BJ63" s="5">
        <f t="shared" si="28"/>
        <v>1.4484325008154535E-2</v>
      </c>
      <c r="BK63" s="5">
        <f t="shared" si="29"/>
        <v>-7.3265528312966207E-5</v>
      </c>
      <c r="BL63" s="5">
        <f t="shared" si="30"/>
        <v>1.0728040979084372E-2</v>
      </c>
      <c r="BM63" s="5">
        <f t="shared" si="31"/>
        <v>0.94312809902687811</v>
      </c>
      <c r="BN63" s="8">
        <f t="shared" si="32"/>
        <v>0.9069264034903608</v>
      </c>
      <c r="BO63" s="9">
        <f t="shared" si="33"/>
        <v>5.6926403490360822E-2</v>
      </c>
      <c r="BP63" s="10">
        <f t="shared" si="34"/>
        <v>-0.91665897999519641</v>
      </c>
      <c r="BQ63" s="10">
        <f t="shared" si="35"/>
        <v>0.91210205183465187</v>
      </c>
    </row>
    <row r="64" spans="2:69">
      <c r="B64">
        <f t="shared" si="36"/>
        <v>9600</v>
      </c>
      <c r="C64">
        <f t="shared" si="46"/>
        <v>178.40000000000055</v>
      </c>
      <c r="D64">
        <f t="shared" si="0"/>
        <v>638.40000000000055</v>
      </c>
      <c r="E64">
        <f t="shared" si="37"/>
        <v>638.00000000000057</v>
      </c>
      <c r="F64">
        <f t="shared" si="47"/>
        <v>1033.6149500944884</v>
      </c>
      <c r="G64">
        <f t="shared" si="38"/>
        <v>1028.5744732741589</v>
      </c>
      <c r="H64">
        <f t="shared" si="1"/>
        <v>0.91181890682406352</v>
      </c>
      <c r="I64">
        <f t="shared" si="39"/>
        <v>0.91196047932935764</v>
      </c>
      <c r="K64">
        <f t="shared" si="40"/>
        <v>-7.4905519634362637E-3</v>
      </c>
      <c r="L64">
        <f t="shared" si="41"/>
        <v>4.3827253216626259E-3</v>
      </c>
      <c r="M64">
        <f t="shared" si="48"/>
        <v>637325947.62964761</v>
      </c>
      <c r="N64">
        <f t="shared" si="49"/>
        <v>1089258.6276607902</v>
      </c>
      <c r="O64">
        <f t="shared" si="50"/>
        <v>1043.6755375406622</v>
      </c>
      <c r="Q64" s="2">
        <f t="shared" si="42"/>
        <v>3.116157790850965</v>
      </c>
      <c r="R64" s="2">
        <f t="shared" si="2"/>
        <v>4.9938426135432132E-2</v>
      </c>
      <c r="W64" s="2">
        <f t="shared" si="3"/>
        <v>156166.08694160552</v>
      </c>
      <c r="X64" s="2">
        <f t="shared" si="43"/>
        <v>1210.2754300000006</v>
      </c>
      <c r="Y64" s="2">
        <f t="shared" si="4"/>
        <v>129.03351011728415</v>
      </c>
      <c r="Z64" s="2">
        <f t="shared" si="44"/>
        <v>5.1831125269548854</v>
      </c>
      <c r="AA64" s="2">
        <f t="shared" si="5"/>
        <v>1.2942757740052335</v>
      </c>
      <c r="AB64" s="2">
        <f t="shared" si="6"/>
        <v>1.1131051128218024</v>
      </c>
      <c r="AC64" s="2">
        <f t="shared" si="7"/>
        <v>1.4362785983689275E-2</v>
      </c>
      <c r="AD64" s="2">
        <f t="shared" si="8"/>
        <v>3657660.5306211445</v>
      </c>
      <c r="AI64">
        <f t="shared" si="9"/>
        <v>1.3793516259266477E-6</v>
      </c>
      <c r="AK64">
        <f t="shared" si="10"/>
        <v>7.4607885469354288E-6</v>
      </c>
      <c r="AL64">
        <f t="shared" si="11"/>
        <v>-3.993573586305692</v>
      </c>
      <c r="AM64">
        <f t="shared" si="12"/>
        <v>15.105120107460447</v>
      </c>
      <c r="AN64">
        <f t="shared" si="13"/>
        <v>228.16465346080591</v>
      </c>
      <c r="AO64">
        <f t="shared" si="14"/>
        <v>4.3827998107155534E-3</v>
      </c>
      <c r="AQ64" s="3">
        <f t="shared" si="45"/>
        <v>178.40000000000055</v>
      </c>
      <c r="AR64" s="3">
        <f t="shared" si="15"/>
        <v>638.40000000000055</v>
      </c>
      <c r="AS64">
        <f t="shared" si="51"/>
        <v>1033.6149500944884</v>
      </c>
      <c r="AV64" s="3">
        <f t="shared" si="16"/>
        <v>1.7024000000000015</v>
      </c>
      <c r="AW64" s="3">
        <f t="shared" si="17"/>
        <v>1.5404097616907428</v>
      </c>
      <c r="AX64" s="4">
        <v>0.8</v>
      </c>
      <c r="AY64" s="5">
        <f t="shared" si="18"/>
        <v>0.30538551137842179</v>
      </c>
      <c r="AZ64" s="5">
        <f t="shared" si="19"/>
        <v>-0.1258128680700234</v>
      </c>
      <c r="BA64" s="5">
        <f t="shared" si="20"/>
        <v>1.6669057192634135E-2</v>
      </c>
      <c r="BB64" s="5">
        <f t="shared" si="21"/>
        <v>-1.0343167053522875E-4</v>
      </c>
      <c r="BC64" s="5">
        <f t="shared" si="22"/>
        <v>1.2374229590221922E-2</v>
      </c>
      <c r="BD64" s="5">
        <f t="shared" si="23"/>
        <v>0.93497014198085326</v>
      </c>
      <c r="BE64" s="6">
        <f t="shared" si="24"/>
        <v>0.90252915599001937</v>
      </c>
      <c r="BF64" s="7">
        <f t="shared" si="25"/>
        <v>0.10252915599001933</v>
      </c>
      <c r="BG64" s="5">
        <v>0.85</v>
      </c>
      <c r="BH64" s="5">
        <f t="shared" si="26"/>
        <v>0.28742165776792644</v>
      </c>
      <c r="BI64" s="5">
        <f t="shared" si="27"/>
        <v>-0.11841211112472792</v>
      </c>
      <c r="BJ64" s="5">
        <f t="shared" si="28"/>
        <v>1.4765670039149966E-2</v>
      </c>
      <c r="BK64" s="5">
        <f t="shared" si="29"/>
        <v>-7.6385134110792941E-5</v>
      </c>
      <c r="BL64" s="5">
        <f t="shared" si="30"/>
        <v>1.088239720804556E-2</v>
      </c>
      <c r="BM64" s="5">
        <f t="shared" si="31"/>
        <v>0.94217647428701079</v>
      </c>
      <c r="BN64" s="8">
        <f t="shared" si="32"/>
        <v>0.90668308268179998</v>
      </c>
      <c r="BO64" s="9">
        <f t="shared" si="33"/>
        <v>5.6683082681800001E-2</v>
      </c>
      <c r="BP64" s="10">
        <f t="shared" si="34"/>
        <v>-0.91692146616438774</v>
      </c>
      <c r="BQ64" s="10">
        <f t="shared" si="35"/>
        <v>0.91181890682406352</v>
      </c>
    </row>
    <row r="65" spans="2:69">
      <c r="B65">
        <f t="shared" si="36"/>
        <v>9800</v>
      </c>
      <c r="C65">
        <f t="shared" si="46"/>
        <v>179.20000000000056</v>
      </c>
      <c r="D65">
        <f t="shared" si="0"/>
        <v>639.2000000000005</v>
      </c>
      <c r="E65">
        <f t="shared" si="37"/>
        <v>638.80000000000052</v>
      </c>
      <c r="F65">
        <f t="shared" si="47"/>
        <v>1043.6755375406622</v>
      </c>
      <c r="G65">
        <f t="shared" si="38"/>
        <v>1038.6452438175752</v>
      </c>
      <c r="H65">
        <f t="shared" si="1"/>
        <v>0.91154691698857304</v>
      </c>
      <c r="I65">
        <f t="shared" si="39"/>
        <v>0.91168291190631834</v>
      </c>
      <c r="K65">
        <f t="shared" si="40"/>
        <v>-7.4834488727175677E-3</v>
      </c>
      <c r="L65">
        <f t="shared" si="41"/>
        <v>4.3827998107155534E-3</v>
      </c>
      <c r="M65">
        <f t="shared" si="48"/>
        <v>638547240.10888982</v>
      </c>
      <c r="N65">
        <f t="shared" si="49"/>
        <v>1110319.1113015444</v>
      </c>
      <c r="O65">
        <f t="shared" si="50"/>
        <v>1053.7168079240002</v>
      </c>
      <c r="Q65" s="2">
        <f t="shared" si="42"/>
        <v>3.1434882496098462</v>
      </c>
      <c r="R65" s="2">
        <f t="shared" si="2"/>
        <v>5.0376414256568046E-2</v>
      </c>
      <c r="W65" s="2">
        <f t="shared" si="3"/>
        <v>156459.72416141929</v>
      </c>
      <c r="X65" s="2">
        <f t="shared" si="43"/>
        <v>1211.0754300000006</v>
      </c>
      <c r="Y65" s="2">
        <f t="shared" si="4"/>
        <v>129.1907343553483</v>
      </c>
      <c r="Z65" s="2">
        <f t="shared" si="44"/>
        <v>5.1811787187171454</v>
      </c>
      <c r="AA65" s="2">
        <f t="shared" si="5"/>
        <v>1.294705852957307</v>
      </c>
      <c r="AB65" s="2">
        <f t="shared" si="6"/>
        <v>1.1142615106365459</v>
      </c>
      <c r="AC65" s="2">
        <f t="shared" si="7"/>
        <v>1.4395226282303511E-2</v>
      </c>
      <c r="AD65" s="2">
        <f t="shared" si="8"/>
        <v>3649417.8258858449</v>
      </c>
      <c r="AI65">
        <f t="shared" si="9"/>
        <v>1.3824670785059666E-6</v>
      </c>
      <c r="AK65">
        <f t="shared" si="10"/>
        <v>7.4759208713338909E-6</v>
      </c>
      <c r="AL65">
        <f t="shared" si="11"/>
        <v>-3.9935088375889203</v>
      </c>
      <c r="AM65">
        <f t="shared" si="12"/>
        <v>15.10499191712079</v>
      </c>
      <c r="AN65">
        <f t="shared" si="13"/>
        <v>228.16078081628439</v>
      </c>
      <c r="AO65">
        <f t="shared" si="14"/>
        <v>4.3828742013519075E-3</v>
      </c>
      <c r="AQ65" s="3">
        <f t="shared" si="45"/>
        <v>179.20000000000056</v>
      </c>
      <c r="AR65" s="3">
        <f t="shared" si="15"/>
        <v>639.2000000000005</v>
      </c>
      <c r="AS65">
        <f t="shared" si="51"/>
        <v>1043.6755375406622</v>
      </c>
      <c r="AV65" s="3">
        <f t="shared" si="16"/>
        <v>1.7045333333333346</v>
      </c>
      <c r="AW65" s="3">
        <f t="shared" si="17"/>
        <v>1.5554031856045636</v>
      </c>
      <c r="AX65" s="4">
        <v>0.8</v>
      </c>
      <c r="AY65" s="5">
        <f t="shared" si="18"/>
        <v>0.30797202077296221</v>
      </c>
      <c r="AZ65" s="5">
        <f t="shared" si="19"/>
        <v>-0.12650715406025065</v>
      </c>
      <c r="BA65" s="5">
        <f t="shared" si="20"/>
        <v>1.6988846479941075E-2</v>
      </c>
      <c r="BB65" s="5">
        <f t="shared" si="21"/>
        <v>-1.0777489163269852E-4</v>
      </c>
      <c r="BC65" s="5">
        <f t="shared" si="22"/>
        <v>1.2550972768117744E-2</v>
      </c>
      <c r="BD65" s="5">
        <f t="shared" si="23"/>
        <v>0.93390130268309379</v>
      </c>
      <c r="BE65" s="6">
        <f t="shared" si="24"/>
        <v>0.90231083712940829</v>
      </c>
      <c r="BF65" s="7">
        <f t="shared" si="25"/>
        <v>0.10231083712940825</v>
      </c>
      <c r="BG65" s="5">
        <v>0.85</v>
      </c>
      <c r="BH65" s="5">
        <f t="shared" si="26"/>
        <v>0.28985601955102325</v>
      </c>
      <c r="BI65" s="5">
        <f t="shared" si="27"/>
        <v>-0.11906555676258883</v>
      </c>
      <c r="BJ65" s="5">
        <f t="shared" si="28"/>
        <v>1.5048943594688289E-2</v>
      </c>
      <c r="BK65" s="5">
        <f t="shared" si="29"/>
        <v>-7.9592638391505965E-5</v>
      </c>
      <c r="BL65" s="5">
        <f t="shared" si="30"/>
        <v>1.1036558767553783E-2</v>
      </c>
      <c r="BM65" s="5">
        <f t="shared" si="31"/>
        <v>0.94122232263591987</v>
      </c>
      <c r="BN65" s="8">
        <f t="shared" si="32"/>
        <v>0.90645083494759582</v>
      </c>
      <c r="BO65" s="9">
        <f t="shared" si="33"/>
        <v>5.645083494759584E-2</v>
      </c>
      <c r="BP65" s="10">
        <f t="shared" si="34"/>
        <v>-0.91720004363624941</v>
      </c>
      <c r="BQ65" s="10">
        <f t="shared" si="35"/>
        <v>0.91154691698857304</v>
      </c>
    </row>
    <row r="66" spans="2:69">
      <c r="B66">
        <f t="shared" si="36"/>
        <v>10000</v>
      </c>
      <c r="C66">
        <f t="shared" si="46"/>
        <v>180.00000000000057</v>
      </c>
      <c r="D66">
        <f t="shared" si="0"/>
        <v>640.00000000000057</v>
      </c>
      <c r="E66">
        <f t="shared" si="37"/>
        <v>639.60000000000059</v>
      </c>
      <c r="F66">
        <f t="shared" si="47"/>
        <v>1053.7168079240002</v>
      </c>
      <c r="G66">
        <f t="shared" si="38"/>
        <v>1048.6961727323312</v>
      </c>
      <c r="H66">
        <f t="shared" si="1"/>
        <v>0.91128589254704184</v>
      </c>
      <c r="I66">
        <f t="shared" si="39"/>
        <v>0.9114164047678075</v>
      </c>
      <c r="K66">
        <f t="shared" si="40"/>
        <v>-7.4762742087202544E-3</v>
      </c>
      <c r="L66">
        <f t="shared" si="41"/>
        <v>4.3828742013519075E-3</v>
      </c>
      <c r="M66">
        <f t="shared" si="48"/>
        <v>639784260.78113163</v>
      </c>
      <c r="N66">
        <f t="shared" si="49"/>
        <v>1131542.2966534325</v>
      </c>
      <c r="O66">
        <f t="shared" si="50"/>
        <v>1063.7397692356117</v>
      </c>
      <c r="Q66" s="2">
        <f t="shared" si="42"/>
        <v>3.170672722543963</v>
      </c>
      <c r="R66" s="2">
        <f t="shared" si="2"/>
        <v>5.0812062861281461E-2</v>
      </c>
      <c r="W66" s="2">
        <f t="shared" si="3"/>
        <v>156753.54519172938</v>
      </c>
      <c r="X66" s="2">
        <f t="shared" si="43"/>
        <v>1211.8754300000005</v>
      </c>
      <c r="Y66" s="2">
        <f t="shared" si="4"/>
        <v>129.34790268974206</v>
      </c>
      <c r="Z66" s="2">
        <f t="shared" si="44"/>
        <v>5.1792497449999981</v>
      </c>
      <c r="AA66" s="2">
        <f t="shared" si="5"/>
        <v>1.2951348567120005</v>
      </c>
      <c r="AB66" s="2">
        <f t="shared" si="6"/>
        <v>1.11541254150888</v>
      </c>
      <c r="AC66" s="2">
        <f t="shared" si="7"/>
        <v>1.4427627287800849E-2</v>
      </c>
      <c r="AD66" s="2">
        <f t="shared" si="8"/>
        <v>3641222.1049485155</v>
      </c>
      <c r="AI66">
        <f t="shared" si="9"/>
        <v>1.3855787575120569E-6</v>
      </c>
      <c r="AK66">
        <f t="shared" si="10"/>
        <v>7.4910313985669815E-6</v>
      </c>
      <c r="AL66">
        <f t="shared" si="11"/>
        <v>-3.9934441917696866</v>
      </c>
      <c r="AM66">
        <f t="shared" si="12"/>
        <v>15.10486389531947</v>
      </c>
      <c r="AN66">
        <f t="shared" si="13"/>
        <v>228.15691329612568</v>
      </c>
      <c r="AO66">
        <f t="shared" si="14"/>
        <v>4.3829484960733857E-3</v>
      </c>
      <c r="AQ66" s="3">
        <f t="shared" si="45"/>
        <v>180.00000000000057</v>
      </c>
      <c r="AR66" s="3">
        <f t="shared" si="15"/>
        <v>640.00000000000057</v>
      </c>
      <c r="AS66">
        <f t="shared" si="51"/>
        <v>1053.7168079240002</v>
      </c>
      <c r="AV66" s="3">
        <f t="shared" si="16"/>
        <v>1.7066666666666681</v>
      </c>
      <c r="AW66" s="3">
        <f t="shared" si="17"/>
        <v>1.5703678210491807</v>
      </c>
      <c r="AX66" s="4">
        <v>0.8</v>
      </c>
      <c r="AY66" s="5">
        <f t="shared" si="18"/>
        <v>0.31054637086177622</v>
      </c>
      <c r="AZ66" s="5">
        <f t="shared" si="19"/>
        <v>-0.12719149746492997</v>
      </c>
      <c r="BA66" s="5">
        <f t="shared" si="20"/>
        <v>1.731082097009267E-2</v>
      </c>
      <c r="BB66" s="5">
        <f t="shared" si="21"/>
        <v>-1.122390247383718E-4</v>
      </c>
      <c r="BC66" s="5">
        <f t="shared" si="22"/>
        <v>1.2727543131762624E-2</v>
      </c>
      <c r="BD66" s="5">
        <f t="shared" si="23"/>
        <v>0.93282976560944109</v>
      </c>
      <c r="BE66" s="6">
        <f t="shared" si="24"/>
        <v>0.90210419360628713</v>
      </c>
      <c r="BF66" s="7">
        <f t="shared" si="25"/>
        <v>0.10210419360628709</v>
      </c>
      <c r="BG66" s="5">
        <v>0.85</v>
      </c>
      <c r="BH66" s="5">
        <f t="shared" si="26"/>
        <v>0.2922789372816717</v>
      </c>
      <c r="BI66" s="5">
        <f t="shared" si="27"/>
        <v>-0.11970964467287525</v>
      </c>
      <c r="BJ66" s="5">
        <f t="shared" si="28"/>
        <v>1.5334152831639178E-2</v>
      </c>
      <c r="BK66" s="5">
        <f t="shared" si="29"/>
        <v>-8.2889437178577057E-5</v>
      </c>
      <c r="BL66" s="5">
        <f t="shared" si="30"/>
        <v>1.1190530547997844E-2</v>
      </c>
      <c r="BM66" s="5">
        <f t="shared" si="31"/>
        <v>0.94026563750863645</v>
      </c>
      <c r="BN66" s="8">
        <f t="shared" si="32"/>
        <v>0.90622946893571554</v>
      </c>
      <c r="BO66" s="9">
        <f t="shared" si="33"/>
        <v>5.6229468935715565E-2</v>
      </c>
      <c r="BP66" s="10">
        <f t="shared" si="34"/>
        <v>-0.91749449341143163</v>
      </c>
      <c r="BQ66" s="10">
        <f t="shared" si="35"/>
        <v>0.91128589254704184</v>
      </c>
    </row>
  </sheetData>
  <conditionalFormatting sqref="O1:O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{304D40D5-18A0-47C8-BB23-567973D0A5A9}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4D40D5-18A0-47C8-BB23-567973D0A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3B1F-BF92-4AB5-B054-5B5A3085A274}">
  <dimension ref="B3:N22"/>
  <sheetViews>
    <sheetView tabSelected="1" workbookViewId="0">
      <selection activeCell="H26" sqref="H26"/>
    </sheetView>
  </sheetViews>
  <sheetFormatPr defaultRowHeight="14.4"/>
  <cols>
    <col min="3" max="3" width="12.77734375" customWidth="1"/>
    <col min="4" max="4" width="13.44140625" customWidth="1"/>
    <col min="5" max="5" width="13.109375" customWidth="1"/>
    <col min="6" max="6" width="14.33203125" customWidth="1"/>
    <col min="11" max="12" width="9.6640625" bestFit="1" customWidth="1"/>
  </cols>
  <sheetData>
    <row r="3" spans="2:14">
      <c r="B3" s="22" t="s">
        <v>77</v>
      </c>
      <c r="C3" s="15"/>
      <c r="D3" s="15"/>
      <c r="E3" s="15"/>
      <c r="F3" s="15"/>
    </row>
    <row r="4" spans="2:14">
      <c r="B4" s="15"/>
    </row>
    <row r="5" spans="2:14">
      <c r="B5" s="15"/>
      <c r="C5" s="15" t="s">
        <v>83</v>
      </c>
      <c r="D5" s="15" t="s">
        <v>84</v>
      </c>
      <c r="E5" s="15" t="s">
        <v>85</v>
      </c>
      <c r="F5" s="15" t="s">
        <v>87</v>
      </c>
    </row>
    <row r="6" spans="2:14" ht="30">
      <c r="B6" s="18" t="s">
        <v>86</v>
      </c>
      <c r="C6" s="18" t="s">
        <v>76</v>
      </c>
      <c r="D6" s="18" t="s">
        <v>76</v>
      </c>
      <c r="E6" s="18" t="s">
        <v>76</v>
      </c>
      <c r="F6" s="18" t="s">
        <v>76</v>
      </c>
      <c r="H6" s="21"/>
      <c r="I6" s="23" t="s">
        <v>60</v>
      </c>
      <c r="J6" s="24">
        <v>4613</v>
      </c>
      <c r="K6" s="23" t="s">
        <v>61</v>
      </c>
      <c r="L6" s="25"/>
      <c r="M6" s="25"/>
      <c r="N6" s="25"/>
    </row>
    <row r="7" spans="2:14">
      <c r="B7" s="19">
        <v>8000</v>
      </c>
      <c r="C7" s="19">
        <v>2058.66</v>
      </c>
      <c r="D7" s="19">
        <v>1353.018</v>
      </c>
      <c r="E7" s="19">
        <v>945.61919999999998</v>
      </c>
      <c r="F7" s="19">
        <f>Sheet1!O66</f>
        <v>785.91988854607735</v>
      </c>
      <c r="I7" s="25"/>
      <c r="J7" s="25"/>
      <c r="K7" s="25"/>
      <c r="L7" s="25"/>
      <c r="M7" s="25"/>
      <c r="N7" s="25"/>
    </row>
    <row r="8" spans="2:14">
      <c r="B8" s="19">
        <v>10000</v>
      </c>
      <c r="C8" s="19">
        <v>2518.9450000000002</v>
      </c>
      <c r="D8" s="19">
        <v>1622.357</v>
      </c>
      <c r="E8" s="19">
        <v>1089.502</v>
      </c>
      <c r="F8" s="19">
        <f>Sheet2!O66</f>
        <v>871.14285986812411</v>
      </c>
      <c r="G8" s="20"/>
      <c r="I8" s="25" t="s">
        <v>74</v>
      </c>
      <c r="J8" s="25"/>
      <c r="K8" s="25"/>
      <c r="L8" s="25"/>
      <c r="M8" s="25"/>
      <c r="N8" s="25"/>
    </row>
    <row r="9" spans="2:14">
      <c r="B9" s="19">
        <v>12000</v>
      </c>
      <c r="C9" s="19">
        <v>2984.6219999999998</v>
      </c>
      <c r="D9" s="19">
        <v>1897.06</v>
      </c>
      <c r="E9" s="19">
        <v>1241.5440000000001</v>
      </c>
      <c r="F9" s="19">
        <f>Sheet3!O66</f>
        <v>964.52925226916432</v>
      </c>
      <c r="I9" s="25"/>
      <c r="J9" s="25"/>
      <c r="K9" s="26" t="s">
        <v>62</v>
      </c>
      <c r="L9" s="25"/>
      <c r="M9" s="25"/>
      <c r="N9" s="25"/>
    </row>
    <row r="10" spans="2:14">
      <c r="B10" s="19">
        <v>14000</v>
      </c>
      <c r="C10" s="19">
        <v>3456.223</v>
      </c>
      <c r="D10" s="19">
        <v>2174.9520000000002</v>
      </c>
      <c r="E10" s="19">
        <v>1398.7270000000001</v>
      </c>
      <c r="F10" s="19">
        <f>Sheet4!O66</f>
        <v>1063.7397692356117</v>
      </c>
      <c r="I10" s="25"/>
      <c r="J10" s="25"/>
      <c r="K10" s="25"/>
      <c r="L10" s="25"/>
      <c r="M10" s="25"/>
      <c r="N10" s="25"/>
    </row>
    <row r="11" spans="2:14" ht="28.8">
      <c r="I11" s="23" t="s">
        <v>63</v>
      </c>
      <c r="J11" s="24" t="s">
        <v>75</v>
      </c>
      <c r="K11" s="24" t="s">
        <v>79</v>
      </c>
      <c r="L11" s="24" t="s">
        <v>80</v>
      </c>
      <c r="M11" s="24" t="s">
        <v>81</v>
      </c>
      <c r="N11" s="27" t="s">
        <v>82</v>
      </c>
    </row>
    <row r="12" spans="2:14">
      <c r="I12" s="24">
        <v>0</v>
      </c>
      <c r="J12" s="24">
        <f t="shared" ref="J12:J22" si="0">($J$6)^2 - (I12)^2</f>
        <v>21279769</v>
      </c>
      <c r="K12" s="24">
        <v>0.115</v>
      </c>
      <c r="L12" s="24">
        <v>25.8</v>
      </c>
      <c r="M12" s="24">
        <f>-J12</f>
        <v>-21279769</v>
      </c>
      <c r="N12" s="24">
        <f t="shared" ref="N12:N22" si="1">(-$L$12+SQRT($L$12^2-(4*$K$12*M12)))/(2*$K$12)</f>
        <v>13491.283461902967</v>
      </c>
    </row>
    <row r="13" spans="2:14">
      <c r="I13" s="24">
        <v>500</v>
      </c>
      <c r="J13" s="24">
        <f t="shared" si="0"/>
        <v>21029769</v>
      </c>
      <c r="K13" s="24"/>
      <c r="L13" s="24"/>
      <c r="M13" s="24">
        <f t="shared" ref="M13:M22" si="2">-J13</f>
        <v>-21029769</v>
      </c>
      <c r="N13" s="24">
        <f t="shared" si="1"/>
        <v>13411.144448531339</v>
      </c>
    </row>
    <row r="14" spans="2:14">
      <c r="I14" s="24">
        <v>1000</v>
      </c>
      <c r="J14" s="24">
        <f t="shared" si="0"/>
        <v>20279769</v>
      </c>
      <c r="K14" s="24"/>
      <c r="L14" s="24"/>
      <c r="M14" s="24">
        <f t="shared" si="2"/>
        <v>-20279769</v>
      </c>
      <c r="N14" s="24">
        <f t="shared" si="1"/>
        <v>13167.826101191153</v>
      </c>
    </row>
    <row r="15" spans="2:14" s="15" customFormat="1">
      <c r="I15" s="24">
        <v>1500</v>
      </c>
      <c r="J15" s="24">
        <f t="shared" si="0"/>
        <v>19029769</v>
      </c>
      <c r="K15" s="24"/>
      <c r="L15" s="24"/>
      <c r="M15" s="24">
        <f t="shared" si="2"/>
        <v>-19029769</v>
      </c>
      <c r="N15" s="24">
        <f t="shared" si="1"/>
        <v>12752.072476103478</v>
      </c>
    </row>
    <row r="16" spans="2:14">
      <c r="I16" s="24">
        <v>2000</v>
      </c>
      <c r="J16" s="24">
        <f t="shared" si="0"/>
        <v>17279769</v>
      </c>
      <c r="K16" s="24"/>
      <c r="L16" s="24"/>
      <c r="M16" s="24">
        <f t="shared" si="2"/>
        <v>-17279769</v>
      </c>
      <c r="N16" s="24">
        <f t="shared" si="1"/>
        <v>12146.351441024713</v>
      </c>
    </row>
    <row r="17" spans="9:14">
      <c r="I17" s="24">
        <v>2500</v>
      </c>
      <c r="J17" s="24">
        <f t="shared" si="0"/>
        <v>15029769</v>
      </c>
      <c r="K17" s="24"/>
      <c r="L17" s="24"/>
      <c r="M17" s="24">
        <f t="shared" si="2"/>
        <v>-15029769</v>
      </c>
      <c r="N17" s="24">
        <f t="shared" si="1"/>
        <v>11320.508469714661</v>
      </c>
    </row>
    <row r="18" spans="9:14">
      <c r="I18" s="24">
        <v>3000</v>
      </c>
      <c r="J18" s="24">
        <f t="shared" si="0"/>
        <v>12279769</v>
      </c>
      <c r="K18" s="24"/>
      <c r="L18" s="24"/>
      <c r="M18" s="24">
        <f t="shared" si="2"/>
        <v>-12279769</v>
      </c>
      <c r="N18" s="24">
        <f t="shared" si="1"/>
        <v>10221.904806744147</v>
      </c>
    </row>
    <row r="19" spans="9:14">
      <c r="I19" s="24">
        <v>3500</v>
      </c>
      <c r="J19" s="24">
        <f t="shared" si="0"/>
        <v>9029769</v>
      </c>
      <c r="K19" s="24"/>
      <c r="L19" s="24"/>
      <c r="M19" s="24">
        <f t="shared" si="2"/>
        <v>-9029769</v>
      </c>
      <c r="N19" s="24">
        <f t="shared" si="1"/>
        <v>8749.6720245448123</v>
      </c>
    </row>
    <row r="20" spans="9:14">
      <c r="I20" s="24">
        <v>4000</v>
      </c>
      <c r="J20" s="24">
        <f t="shared" si="0"/>
        <v>5279769</v>
      </c>
      <c r="K20" s="24"/>
      <c r="L20" s="24"/>
      <c r="M20" s="24">
        <f t="shared" si="2"/>
        <v>-5279769</v>
      </c>
      <c r="N20" s="24">
        <f t="shared" si="1"/>
        <v>6664.5227578557133</v>
      </c>
    </row>
    <row r="21" spans="9:14">
      <c r="I21" s="24">
        <v>4500</v>
      </c>
      <c r="J21" s="24">
        <f t="shared" si="0"/>
        <v>1029769</v>
      </c>
      <c r="K21" s="24"/>
      <c r="L21" s="24"/>
      <c r="M21" s="24">
        <f t="shared" si="2"/>
        <v>-1029769</v>
      </c>
      <c r="N21" s="24">
        <f t="shared" si="1"/>
        <v>2882.3370704471067</v>
      </c>
    </row>
    <row r="22" spans="9:14">
      <c r="I22" s="24">
        <v>4613</v>
      </c>
      <c r="J22" s="24">
        <f t="shared" si="0"/>
        <v>0</v>
      </c>
      <c r="K22" s="24"/>
      <c r="L22" s="24"/>
      <c r="M22" s="24">
        <f t="shared" si="2"/>
        <v>0</v>
      </c>
      <c r="N22" s="24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Noushad Ahmed Khan Mahi</dc:creator>
  <cp:lastModifiedBy>MAHI</cp:lastModifiedBy>
  <dcterms:created xsi:type="dcterms:W3CDTF">2025-03-01T13:37:27Z</dcterms:created>
  <dcterms:modified xsi:type="dcterms:W3CDTF">2025-10-02T19:48:44Z</dcterms:modified>
</cp:coreProperties>
</file>